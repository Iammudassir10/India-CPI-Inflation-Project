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934c5249ec8a54/Documents/"/>
    </mc:Choice>
  </mc:AlternateContent>
  <xr:revisionPtr revIDLastSave="158" documentId="13_ncr:1_{C6F174E7-8705-4776-964E-57ECB6E653EB}" xr6:coauthVersionLast="47" xr6:coauthVersionMax="47" xr10:uidLastSave="{69CBFE8A-7DA5-49B0-A832-EF8FD92EE4E5}"/>
  <bookViews>
    <workbookView xWindow="-108" yWindow="-108" windowWidth="23256" windowHeight="12456" activeTab="2" xr2:uid="{F3111FC7-E227-4F00-923A-DBA3FFECC321}"/>
  </bookViews>
  <sheets>
    <sheet name="All_India_Index_Upto_April2 (2)" sheetId="3" r:id="rId1"/>
    <sheet name="Sheet1" sheetId="2" r:id="rId2"/>
    <sheet name="Solution 1" sheetId="5" r:id="rId3"/>
    <sheet name="Solution 2 " sheetId="6" r:id="rId4"/>
    <sheet name="Solution 3" sheetId="9" r:id="rId5"/>
    <sheet name="Solution 3(2)" sheetId="11" r:id="rId6"/>
    <sheet name="Solution 4" sheetId="10" r:id="rId7"/>
    <sheet name="Solution 5" sheetId="12" r:id="rId8"/>
    <sheet name="Sheet4" sheetId="15" r:id="rId9"/>
  </sheets>
  <definedNames>
    <definedName name="_xlnm._FilterDatabase" localSheetId="1" hidden="1">Sheet1!$A$1:$AH$373</definedName>
    <definedName name="_xlchart.v1.0" hidden="1">'Solution 3'!$C$3:$C$14</definedName>
    <definedName name="_xlchart.v1.1" hidden="1">'Solution 3'!$S$3:$S$14</definedName>
    <definedName name="_xlchart.v1.2" hidden="1">'Solution 3(2)'!$D$14:$Q$14</definedName>
    <definedName name="_xlchart.v1.3" hidden="1">'Solution 3(2)'!$D$1:$Q$1</definedName>
    <definedName name="ExternalData_1" localSheetId="0" hidden="1">'All_India_Index_Upto_April2 (2)'!$A$1:$AE$373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1" i="12" l="1"/>
  <c r="Z361" i="2"/>
  <c r="Z358" i="2"/>
  <c r="Z352" i="2"/>
  <c r="Z337" i="2"/>
  <c r="Z328" i="2"/>
  <c r="Z313" i="2"/>
  <c r="Z304" i="2"/>
  <c r="Z292" i="2"/>
  <c r="E2" i="12" a="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2" i="12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D14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D2" i="11"/>
  <c r="M3" i="10"/>
  <c r="M4" i="10"/>
  <c r="M5" i="10"/>
  <c r="M6" i="10"/>
  <c r="M2" i="10"/>
  <c r="L3" i="10"/>
  <c r="L4" i="10"/>
  <c r="L5" i="10"/>
  <c r="L6" i="10"/>
  <c r="L2" i="10"/>
  <c r="K3" i="10"/>
  <c r="K4" i="10"/>
  <c r="K5" i="10"/>
  <c r="K6" i="10"/>
  <c r="K2" i="10"/>
  <c r="S4" i="9"/>
  <c r="S5" i="9"/>
  <c r="S6" i="9"/>
  <c r="S7" i="9"/>
  <c r="S8" i="9"/>
  <c r="S9" i="9"/>
  <c r="S10" i="9"/>
  <c r="S11" i="9"/>
  <c r="S12" i="9"/>
  <c r="S13" i="9"/>
  <c r="S14" i="9"/>
  <c r="S3" i="9"/>
  <c r="H2" i="5"/>
  <c r="E5" i="5" s="1"/>
  <c r="H3" i="5"/>
  <c r="B6" i="5" s="1"/>
  <c r="H4" i="5"/>
  <c r="G7" i="5" s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3" i="2"/>
  <c r="Z294" i="2"/>
  <c r="Z295" i="2"/>
  <c r="Z296" i="2"/>
  <c r="Z297" i="2"/>
  <c r="Z298" i="2"/>
  <c r="Z299" i="2"/>
  <c r="Z300" i="2"/>
  <c r="Z301" i="2"/>
  <c r="Z302" i="2"/>
  <c r="Z303" i="2"/>
  <c r="Z305" i="2"/>
  <c r="Z306" i="2"/>
  <c r="Z307" i="2"/>
  <c r="Z308" i="2"/>
  <c r="Z309" i="2"/>
  <c r="Z310" i="2"/>
  <c r="Z311" i="2"/>
  <c r="Z312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9" i="2"/>
  <c r="Z330" i="2"/>
  <c r="Z331" i="2"/>
  <c r="Z332" i="2"/>
  <c r="Z333" i="2"/>
  <c r="Z334" i="2"/>
  <c r="Z335" i="2"/>
  <c r="Z336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3" i="2"/>
  <c r="Z354" i="2"/>
  <c r="Z355" i="2"/>
  <c r="Z356" i="2"/>
  <c r="Z357" i="2"/>
  <c r="Z359" i="2"/>
  <c r="Z360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2" i="2"/>
  <c r="V5" i="2"/>
  <c r="V3" i="2"/>
  <c r="V4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2" i="2"/>
  <c r="E2" i="12" l="1"/>
  <c r="G31" i="12"/>
  <c r="O31" i="12"/>
  <c r="X31" i="12"/>
  <c r="AF31" i="12"/>
  <c r="U31" i="12"/>
  <c r="AE31" i="12"/>
  <c r="V31" i="12"/>
  <c r="N31" i="12"/>
  <c r="AC31" i="12"/>
  <c r="T31" i="12"/>
  <c r="L31" i="12"/>
  <c r="M31" i="12"/>
  <c r="AB31" i="12"/>
  <c r="S31" i="12"/>
  <c r="K31" i="12"/>
  <c r="AA31" i="12"/>
  <c r="R31" i="12"/>
  <c r="J31" i="12"/>
  <c r="AD31" i="12"/>
  <c r="Z31" i="12"/>
  <c r="Q31" i="12"/>
  <c r="I31" i="12"/>
  <c r="F31" i="12"/>
  <c r="Y31" i="12"/>
  <c r="P31" i="12"/>
  <c r="H31" i="12"/>
  <c r="G6" i="5"/>
  <c r="B7" i="5"/>
  <c r="C7" i="5"/>
  <c r="D7" i="5"/>
  <c r="C6" i="5"/>
  <c r="E7" i="5"/>
  <c r="D6" i="5"/>
  <c r="F7" i="5"/>
  <c r="E6" i="5"/>
  <c r="F6" i="5"/>
  <c r="B5" i="5"/>
  <c r="C5" i="5"/>
  <c r="D5" i="5"/>
  <c r="F5" i="5"/>
  <c r="G5" i="5"/>
  <c r="F33" i="12" l="1" a="1"/>
  <c r="F33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91DE0B-391A-4223-A41C-C5D5295CAF6F}" keepAlive="1" name="Query - All_India_Index_Upto_April23 (1)" description="Connection to the 'All_India_Index_Upto_April23 (1)' query in the workbook." type="5" refreshedVersion="8" background="1" saveData="1">
    <dbPr connection="Provider=Microsoft.Mashup.OleDb.1;Data Source=$Workbook$;Location=&quot;All_India_Index_Upto_April23 (1)&quot;;Extended Properties=&quot;&quot;" command="SELECT * FROM [All_India_Index_Upto_April23 (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<sst xmlns="http://schemas.openxmlformats.org/spreadsheetml/2006/main" count="2419" uniqueCount="198">
  <si>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</si>
  <si>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</si>
  <si>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</si>
  <si>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</si>
  <si>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</si>
  <si>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</si>
  <si>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</si>
  <si>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</si>
  <si>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</si>
  <si>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</si>
  <si>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</si>
  <si>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</si>
  <si>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</si>
  <si>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</si>
  <si>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</si>
  <si>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</si>
  <si>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</si>
  <si>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</si>
  <si>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</si>
  <si>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</si>
  <si>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</si>
  <si>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</si>
  <si>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</si>
  <si>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</si>
  <si>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</si>
  <si>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</si>
  <si>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</si>
  <si>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</si>
  <si>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</si>
  <si>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</si>
  <si>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</si>
  <si>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</si>
  <si>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</si>
  <si>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</si>
  <si>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</si>
  <si>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</si>
  <si>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</si>
  <si>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</si>
  <si>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</si>
  <si>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</si>
  <si>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</si>
  <si>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</si>
  <si>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</si>
  <si>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</si>
  <si>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</si>
  <si>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</si>
  <si>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</si>
  <si>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</si>
  <si>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</si>
  <si>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100.3</t>
  </si>
  <si>
    <t>100.4</t>
  </si>
  <si>
    <t>100.5</t>
  </si>
  <si>
    <t>106.6</t>
  </si>
  <si>
    <t>107.7</t>
  </si>
  <si>
    <t>108.9</t>
  </si>
  <si>
    <t>109.7</t>
  </si>
  <si>
    <t>110.5</t>
  </si>
  <si>
    <t>111.1</t>
  </si>
  <si>
    <t>110.7</t>
  </si>
  <si>
    <t>111.6</t>
  </si>
  <si>
    <t>112.5</t>
  </si>
  <si>
    <t>113.2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</si>
  <si>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</si>
  <si>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</si>
  <si>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</si>
  <si>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</si>
  <si>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</si>
  <si>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</si>
  <si>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</si>
  <si>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</si>
  <si>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</si>
  <si>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</si>
  <si>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</si>
  <si>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</si>
  <si>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</si>
  <si>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</si>
  <si>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</si>
  <si>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</si>
  <si>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</si>
  <si>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</si>
  <si>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</si>
  <si>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</si>
  <si>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</si>
  <si>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</si>
  <si>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</si>
  <si>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</si>
  <si>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</si>
  <si>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</si>
  <si>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</si>
  <si>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</si>
  <si>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</si>
  <si>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</si>
  <si>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</si>
  <si>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</si>
  <si>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</si>
  <si>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</si>
  <si>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</si>
  <si>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</si>
  <si>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</si>
  <si>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</si>
  <si>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</si>
  <si>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</si>
  <si>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</si>
  <si>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</si>
  <si>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</si>
  <si>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</si>
  <si>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</si>
  <si>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</si>
  <si>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</si>
  <si>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</si>
  <si>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</si>
  <si>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</si>
  <si>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</si>
  <si>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</si>
  <si>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</si>
  <si>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</si>
  <si>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</si>
  <si>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</si>
  <si>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</si>
  <si>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</si>
  <si>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</si>
  <si>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</si>
  <si>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</si>
  <si>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</si>
  <si>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</si>
  <si>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</si>
  <si>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</si>
  <si>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</si>
  <si>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</si>
  <si>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</si>
  <si>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</si>
  <si>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</si>
  <si>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</si>
  <si>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</si>
  <si>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</si>
  <si>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</si>
  <si>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</si>
  <si>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</si>
  <si>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</si>
  <si>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</si>
  <si>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</si>
  <si>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</si>
  <si>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</si>
  <si>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</si>
  <si>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</si>
  <si>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</si>
  <si>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</si>
  <si>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</si>
  <si>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</si>
  <si>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</si>
  <si>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</si>
  <si>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</si>
  <si>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</si>
  <si>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</si>
  <si>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</si>
  <si>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</si>
  <si>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</si>
  <si>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</si>
  <si>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</si>
  <si>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</si>
  <si>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</si>
  <si>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</si>
  <si>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</si>
  <si>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</si>
  <si>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</si>
  <si>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Column4</t>
  </si>
  <si>
    <t>food</t>
  </si>
  <si>
    <t>clothing</t>
  </si>
  <si>
    <t>Prepared meals, scks, sweets etc.</t>
  </si>
  <si>
    <t>Nonalcoholic beverages</t>
  </si>
  <si>
    <t>Other</t>
  </si>
  <si>
    <t>House items</t>
  </si>
  <si>
    <t>Health 2</t>
  </si>
  <si>
    <t>Travel</t>
  </si>
  <si>
    <t xml:space="preserve">Health2(Health, Personal care and effects) </t>
  </si>
  <si>
    <t>Clothing broader category has the highest contribution towards CPI calculation in rural.</t>
  </si>
  <si>
    <t xml:space="preserve">broader category has the highest contribution towards CPI calculation in rural. </t>
  </si>
  <si>
    <t>in rural+urban.</t>
  </si>
  <si>
    <t xml:space="preserve"> </t>
  </si>
  <si>
    <t>Based on the above graph 2019 is the year with highest inflation rate, due to a sharp rise in food prices.</t>
  </si>
  <si>
    <t>in urban</t>
  </si>
  <si>
    <t xml:space="preserve">Based on the above graph, </t>
  </si>
  <si>
    <t>M-o-M inflation</t>
  </si>
  <si>
    <t>Essential services</t>
  </si>
  <si>
    <t xml:space="preserve">Based on the above graph </t>
  </si>
  <si>
    <t>Highest food inflation is in month June and lowest food inflation is in month December.</t>
  </si>
  <si>
    <t>Pre-covid</t>
  </si>
  <si>
    <t>covid</t>
  </si>
  <si>
    <t>Category</t>
  </si>
  <si>
    <t>Post-covid</t>
  </si>
  <si>
    <t>Y-O-Y food</t>
  </si>
  <si>
    <t>Y-O-Y Health2</t>
  </si>
  <si>
    <t>Y-O-Y Essential services</t>
  </si>
  <si>
    <t>Based on the above graph, the Y-O-Y food category is highly impacted during covid.</t>
  </si>
  <si>
    <t>From the above data, the biggest individual category contributor is Spices and lowest is Oils and fats.</t>
  </si>
  <si>
    <t>imported oil price fluctuation</t>
  </si>
  <si>
    <t>year and month</t>
  </si>
  <si>
    <t>From the formatted cells, the cells filled with red color are top 3 and with yellow color are bottom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</si>
</sst>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42" applyNumberFormat="1" applyFont="1"/>
    <xf numFmtId="0" fontId="16" fillId="0" borderId="0" xfId="42" applyNumberFormat="1" applyFont="1"/>
    <xf numFmtId="10" fontId="0" fillId="0" borderId="0" xfId="0" applyNumberFormat="1"/>
    <xf numFmtId="1" fontId="19" fillId="33" borderId="10" xfId="0" applyNumberFormat="1" applyFont="1" applyFill="1" applyBorder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'Solution 1'!$B$1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'Solution 1'!$A$2:$A$7</c:f>
              <c:strCache>
                <c:ptCount val="3"/>
                <c:pt idx="0">
                  <c:v>Rural</c:v>
                </c:pt>
                <c:pt idx="1">
                  <c:v>Urban</c:v>
                </c:pt>
                <c:pt idx="2">
                  <c:v>Rural+Urban</c:v>
                </c:pt>
              </c:strCache>
            </c:strRef>
          </c:cat>
          <c:val>
            <c:numRef>
              <c:f>'Solution 1'!$B$2:$B$7</c:f>
              <c:numCache>
                <c:formatCode>General</c:formatCode>
                <c:ptCount val="6"/>
                <c:pt idx="0">
                  <c:v>177.90000000000006</c:v>
                </c:pt>
                <c:pt idx="1">
                  <c:v>181.37857142857141</c:v>
                </c:pt>
                <c:pt idx="2">
                  <c:v>179.1357142857143</c:v>
                </c:pt>
                <c:pt idx="3">
                  <c:v>0.16579394201856426</c:v>
                </c:pt>
                <c:pt idx="4">
                  <c:v>0.17144689757612586</c:v>
                </c:pt>
                <c:pt idx="5">
                  <c:v>0.16690403300945031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E-4DAD-9A1D-36A315D13651}"/>
            </c:ext>
          </c:extLst>
        </c:ser>
        <c:ser>
          <c:idx val="1"/>
          <c:order val="1"/>
          <c:tx>
            <c:strRef>
              <c:f>'Solution 1'!$C$1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'Solution 1'!$A$2:$A$7</c:f>
              <c:strCache>
                <c:ptCount val="3"/>
                <c:pt idx="0">
                  <c:v>Rural</c:v>
                </c:pt>
                <c:pt idx="1">
                  <c:v>Urban</c:v>
                </c:pt>
                <c:pt idx="2">
                  <c:v>Rural+Urban</c:v>
                </c:pt>
              </c:strCache>
            </c:strRef>
          </c:cat>
          <c:val>
            <c:numRef>
              <c:f>'Solution 1'!$C$2:$C$7</c:f>
              <c:numCache>
                <c:formatCode>General</c:formatCode>
                <c:ptCount val="6"/>
                <c:pt idx="0">
                  <c:v>189.9666666666667</c:v>
                </c:pt>
                <c:pt idx="1">
                  <c:v>176.23333333333335</c:v>
                </c:pt>
                <c:pt idx="2">
                  <c:v>184.4</c:v>
                </c:pt>
                <c:pt idx="3">
                  <c:v>0.17703947452947302</c:v>
                </c:pt>
                <c:pt idx="4">
                  <c:v>0.16658339522427029</c:v>
                </c:pt>
                <c:pt idx="5">
                  <c:v>0.17180886463463332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E-4DAD-9A1D-36A315D13651}"/>
            </c:ext>
          </c:extLst>
        </c:ser>
        <c:ser>
          <c:idx val="2"/>
          <c:order val="2"/>
          <c:tx>
            <c:strRef>
              <c:f>'Solution 1'!$D$1</c:f>
              <c:strCache>
                <c:ptCount val="1"/>
                <c:pt idx="0">
                  <c:v>House items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'Solution 1'!$A$2:$A$7</c:f>
              <c:strCache>
                <c:ptCount val="3"/>
                <c:pt idx="0">
                  <c:v>Rural</c:v>
                </c:pt>
                <c:pt idx="1">
                  <c:v>Urban</c:v>
                </c:pt>
                <c:pt idx="2">
                  <c:v>Rural+Urban</c:v>
                </c:pt>
              </c:strCache>
            </c:strRef>
          </c:cat>
          <c:val>
            <c:numRef>
              <c:f>'Solution 1'!$D$2:$D$7</c:f>
              <c:numCache>
                <c:formatCode>General</c:formatCode>
                <c:ptCount val="6"/>
                <c:pt idx="0">
                  <c:v>167.18536586666667</c:v>
                </c:pt>
                <c:pt idx="1">
                  <c:v>176.75</c:v>
                </c:pt>
                <c:pt idx="2">
                  <c:v>179</c:v>
                </c:pt>
                <c:pt idx="3">
                  <c:v>0.15580843650843496</c:v>
                </c:pt>
                <c:pt idx="4">
                  <c:v>0.16707177098102763</c:v>
                </c:pt>
                <c:pt idx="5">
                  <c:v>0.16677758551843472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BE-4DAD-9A1D-36A315D13651}"/>
            </c:ext>
          </c:extLst>
        </c:ser>
        <c:ser>
          <c:idx val="3"/>
          <c:order val="3"/>
          <c:tx>
            <c:strRef>
              <c:f>'Solution 1'!$E$1</c:f>
              <c:strCache>
                <c:ptCount val="1"/>
                <c:pt idx="0">
                  <c:v>Health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'Solution 1'!$A$2:$A$7</c:f>
              <c:strCache>
                <c:ptCount val="3"/>
                <c:pt idx="0">
                  <c:v>Rural</c:v>
                </c:pt>
                <c:pt idx="1">
                  <c:v>Urban</c:v>
                </c:pt>
                <c:pt idx="2">
                  <c:v>Rural+Urban</c:v>
                </c:pt>
              </c:strCache>
            </c:strRef>
          </c:cat>
          <c:val>
            <c:numRef>
              <c:f>'Solution 1'!$E$2:$E$7</c:f>
              <c:numCache>
                <c:formatCode>General</c:formatCode>
                <c:ptCount val="6"/>
                <c:pt idx="0">
                  <c:v>186.35000000000002</c:v>
                </c:pt>
                <c:pt idx="1">
                  <c:v>183.89999999999998</c:v>
                </c:pt>
                <c:pt idx="2">
                  <c:v>185.45</c:v>
                </c:pt>
                <c:pt idx="3">
                  <c:v>0.17366892127689401</c:v>
                </c:pt>
                <c:pt idx="4">
                  <c:v>0.17383026129228277</c:v>
                </c:pt>
                <c:pt idx="5">
                  <c:v>0.17278716890722748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BE-4DAD-9A1D-36A315D13651}"/>
            </c:ext>
          </c:extLst>
        </c:ser>
        <c:ser>
          <c:idx val="4"/>
          <c:order val="4"/>
          <c:tx>
            <c:strRef>
              <c:f>'Solution 1'!$F$1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'Solution 1'!$A$2:$A$7</c:f>
              <c:strCache>
                <c:ptCount val="3"/>
                <c:pt idx="0">
                  <c:v>Rural</c:v>
                </c:pt>
                <c:pt idx="1">
                  <c:v>Urban</c:v>
                </c:pt>
                <c:pt idx="2">
                  <c:v>Rural+Urban</c:v>
                </c:pt>
              </c:strCache>
            </c:strRef>
          </c:cat>
          <c:val>
            <c:numRef>
              <c:f>'Solution 1'!$F$2:$F$7</c:f>
              <c:numCache>
                <c:formatCode>General</c:formatCode>
                <c:ptCount val="6"/>
                <c:pt idx="0">
                  <c:v>171.75</c:v>
                </c:pt>
                <c:pt idx="1">
                  <c:v>164.8</c:v>
                </c:pt>
                <c:pt idx="2">
                  <c:v>168</c:v>
                </c:pt>
                <c:pt idx="3">
                  <c:v>0.16006244823883306</c:v>
                </c:pt>
                <c:pt idx="4">
                  <c:v>0.15577611234892988</c:v>
                </c:pt>
                <c:pt idx="5">
                  <c:v>0.15652868361506722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BE-4DAD-9A1D-36A315D13651}"/>
            </c:ext>
          </c:extLst>
        </c:ser>
        <c:ser>
          <c:idx val="5"/>
          <c:order val="5"/>
          <c:tx>
            <c:strRef>
              <c:f>'Solution 1'!$G$1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'Solution 1'!$A$2:$A$7</c:f>
              <c:strCache>
                <c:ptCount val="3"/>
                <c:pt idx="0">
                  <c:v>Rural</c:v>
                </c:pt>
                <c:pt idx="1">
                  <c:v>Urban</c:v>
                </c:pt>
                <c:pt idx="2">
                  <c:v>Rural+Urban</c:v>
                </c:pt>
              </c:strCache>
            </c:strRef>
          </c:cat>
          <c:val>
            <c:numRef>
              <c:f>'Solution 1'!$G$2:$G$7</c:f>
              <c:numCache>
                <c:formatCode>General</c:formatCode>
                <c:ptCount val="6"/>
                <c:pt idx="0">
                  <c:v>179.86666666666667</c:v>
                </c:pt>
                <c:pt idx="1">
                  <c:v>174.86666666666665</c:v>
                </c:pt>
                <c:pt idx="2">
                  <c:v>177.29999999999998</c:v>
                </c:pt>
                <c:pt idx="3">
                  <c:v>0.16762677742780072</c:v>
                </c:pt>
                <c:pt idx="4">
                  <c:v>0.16529156257736366</c:v>
                </c:pt>
                <c:pt idx="5">
                  <c:v>0.16519366431518701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BE-4DAD-9A1D-36A315D13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645919"/>
        <c:axId val="1819643519"/>
      </c:barChart>
      <c:catAx>
        <c:axId val="181964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43519"/>
        <c:crosses val="autoZero"/>
        <c:auto val="1"/>
        <c:lblAlgn val="ctr"/>
        <c:lblOffset val="100"/>
        <c:noMultiLvlLbl val="0"/>
      </c:catAx>
      <c:valAx>
        <c:axId val="18196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4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'Solution 2 '!$B$79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'Solution 2 '!$C$79:$AJ$79</c:f>
              <c:numCache>
                <c:formatCode>General</c:formatCode>
                <c:ptCount val="34"/>
                <c:pt idx="1">
                  <c:v>3</c:v>
                </c:pt>
                <c:pt idx="2">
                  <c:v>5.1000000000000227</c:v>
                </c:pt>
                <c:pt idx="3">
                  <c:v>13</c:v>
                </c:pt>
                <c:pt idx="4">
                  <c:v>5.5999999999999943</c:v>
                </c:pt>
                <c:pt idx="5">
                  <c:v>1.4000000000000057</c:v>
                </c:pt>
                <c:pt idx="6">
                  <c:v>8.5</c:v>
                </c:pt>
                <c:pt idx="7">
                  <c:v>42.299999999999983</c:v>
                </c:pt>
                <c:pt idx="8">
                  <c:v>-30.400000000000006</c:v>
                </c:pt>
                <c:pt idx="9">
                  <c:v>5.9000000000000057</c:v>
                </c:pt>
                <c:pt idx="10">
                  <c:v>-2.5</c:v>
                </c:pt>
                <c:pt idx="11">
                  <c:v>2.2000000000000171</c:v>
                </c:pt>
                <c:pt idx="12">
                  <c:v>6.1999999999999886</c:v>
                </c:pt>
                <c:pt idx="13">
                  <c:v>7.4000000000000057</c:v>
                </c:pt>
                <c:pt idx="14">
                  <c:v>10.399999999999977</c:v>
                </c:pt>
                <c:pt idx="15">
                  <c:v>5.5785714285714789</c:v>
                </c:pt>
                <c:pt idx="16">
                  <c:v>6.5</c:v>
                </c:pt>
                <c:pt idx="17">
                  <c:v>4.9000000000000057</c:v>
                </c:pt>
                <c:pt idx="18">
                  <c:v>6.4000000000000057</c:v>
                </c:pt>
                <c:pt idx="19">
                  <c:v>5.9333333333333371</c:v>
                </c:pt>
                <c:pt idx="20">
                  <c:v>7.8000000000000114</c:v>
                </c:pt>
                <c:pt idx="21">
                  <c:v>9.7999999999999972</c:v>
                </c:pt>
                <c:pt idx="22">
                  <c:v>5.2999999999999829</c:v>
                </c:pt>
                <c:pt idx="23">
                  <c:v>7.6333333333333542</c:v>
                </c:pt>
                <c:pt idx="24">
                  <c:v>6</c:v>
                </c:pt>
                <c:pt idx="25">
                  <c:v>4.7999999999999972</c:v>
                </c:pt>
                <c:pt idx="26">
                  <c:v>5.4000000000000057</c:v>
                </c:pt>
                <c:pt idx="27">
                  <c:v>1.5</c:v>
                </c:pt>
                <c:pt idx="28">
                  <c:v>4.7999999999999972</c:v>
                </c:pt>
                <c:pt idx="29">
                  <c:v>3.1500000000000057</c:v>
                </c:pt>
                <c:pt idx="30">
                  <c:v>5.1999999999999886</c:v>
                </c:pt>
                <c:pt idx="31">
                  <c:v>4.1999999999999886</c:v>
                </c:pt>
                <c:pt idx="32">
                  <c:v>6.8999999999999773</c:v>
                </c:pt>
                <c:pt idx="33">
                  <c:v>5.4333333333333371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5-44D4-9A71-290E42BF4BE7}"/>
            </c:ext>
          </c:extLst>
        </c:ser>
        <c:ser>
          <c:idx val="1"/>
          <c:order val="1"/>
          <c:tx>
            <c:strRef>
              <c:f>'Solution 2 '!$B$80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'Solution 2 '!$C$80:$AJ$80</c:f>
              <c:numCache>
                <c:formatCode>General</c:formatCode>
                <c:ptCount val="34"/>
                <c:pt idx="1">
                  <c:v>1.5</c:v>
                </c:pt>
                <c:pt idx="2">
                  <c:v>6.3000000000000114</c:v>
                </c:pt>
                <c:pt idx="3">
                  <c:v>-4.8999999999999773</c:v>
                </c:pt>
                <c:pt idx="4">
                  <c:v>1</c:v>
                </c:pt>
                <c:pt idx="5">
                  <c:v>1.2999999999999972</c:v>
                </c:pt>
                <c:pt idx="6">
                  <c:v>-1.9000000000000057</c:v>
                </c:pt>
                <c:pt idx="7">
                  <c:v>-16.400000000000006</c:v>
                </c:pt>
                <c:pt idx="8">
                  <c:v>-7.5</c:v>
                </c:pt>
                <c:pt idx="9">
                  <c:v>-8.5</c:v>
                </c:pt>
                <c:pt idx="10">
                  <c:v>3.0999999999999943</c:v>
                </c:pt>
                <c:pt idx="11">
                  <c:v>4.8000000000000114</c:v>
                </c:pt>
                <c:pt idx="12">
                  <c:v>5.0999999999999943</c:v>
                </c:pt>
                <c:pt idx="13">
                  <c:v>-1</c:v>
                </c:pt>
                <c:pt idx="14">
                  <c:v>8.3000000000000114</c:v>
                </c:pt>
                <c:pt idx="15">
                  <c:v>-0.62857142857143344</c:v>
                </c:pt>
                <c:pt idx="16">
                  <c:v>4.5999999999999943</c:v>
                </c:pt>
                <c:pt idx="17">
                  <c:v>3.9000000000000057</c:v>
                </c:pt>
                <c:pt idx="18">
                  <c:v>4.5</c:v>
                </c:pt>
                <c:pt idx="19">
                  <c:v>4.3333333333333428</c:v>
                </c:pt>
                <c:pt idx="20">
                  <c:v>9.1999999999999886</c:v>
                </c:pt>
                <c:pt idx="21">
                  <c:v>6.0999999999999943</c:v>
                </c:pt>
                <c:pt idx="22">
                  <c:v>8.2999999999999829</c:v>
                </c:pt>
                <c:pt idx="23">
                  <c:v>7.8666666666666742</c:v>
                </c:pt>
                <c:pt idx="24">
                  <c:v>11.599999999999994</c:v>
                </c:pt>
                <c:pt idx="25">
                  <c:v>4.8999999999999915</c:v>
                </c:pt>
                <c:pt idx="26">
                  <c:v>8.25</c:v>
                </c:pt>
                <c:pt idx="27">
                  <c:v>4.2999999999999972</c:v>
                </c:pt>
                <c:pt idx="28">
                  <c:v>7.1000000000000227</c:v>
                </c:pt>
                <c:pt idx="29">
                  <c:v>5.6999999999999886</c:v>
                </c:pt>
                <c:pt idx="30">
                  <c:v>11.099999999999994</c:v>
                </c:pt>
                <c:pt idx="31">
                  <c:v>7.7000000000000171</c:v>
                </c:pt>
                <c:pt idx="32">
                  <c:v>3.1999999999999886</c:v>
                </c:pt>
                <c:pt idx="33">
                  <c:v>7.3333333333333428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5-44D4-9A71-290E42BF4BE7}"/>
            </c:ext>
          </c:extLst>
        </c:ser>
        <c:ser>
          <c:idx val="2"/>
          <c:order val="2"/>
          <c:tx>
            <c:strRef>
              <c:f>'Solution 2 '!$B$81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'Solution 2 '!$C$81:$AJ$81</c:f>
              <c:numCache>
                <c:formatCode>General</c:formatCode>
                <c:ptCount val="34"/>
                <c:pt idx="1">
                  <c:v>6.4000000000000057</c:v>
                </c:pt>
                <c:pt idx="2">
                  <c:v>13.599999999999994</c:v>
                </c:pt>
                <c:pt idx="3">
                  <c:v>10.900000000000006</c:v>
                </c:pt>
                <c:pt idx="4">
                  <c:v>6.2000000000000171</c:v>
                </c:pt>
                <c:pt idx="5">
                  <c:v>3.9000000000000057</c:v>
                </c:pt>
                <c:pt idx="6">
                  <c:v>10.299999999999983</c:v>
                </c:pt>
                <c:pt idx="7">
                  <c:v>85.699999999999989</c:v>
                </c:pt>
                <c:pt idx="8">
                  <c:v>18.000000000000014</c:v>
                </c:pt>
                <c:pt idx="9">
                  <c:v>4.9000000000000057</c:v>
                </c:pt>
                <c:pt idx="10">
                  <c:v>9.2999999999999829</c:v>
                </c:pt>
                <c:pt idx="11">
                  <c:v>2.5</c:v>
                </c:pt>
                <c:pt idx="12">
                  <c:v>3.4000000000000057</c:v>
                </c:pt>
                <c:pt idx="13">
                  <c:v>17.599999999999994</c:v>
                </c:pt>
                <c:pt idx="14">
                  <c:v>5.3000000000000114</c:v>
                </c:pt>
                <c:pt idx="15">
                  <c:v>14.142857142857167</c:v>
                </c:pt>
                <c:pt idx="16">
                  <c:v>2.7000000000000171</c:v>
                </c:pt>
                <c:pt idx="17">
                  <c:v>2.3000000000000114</c:v>
                </c:pt>
                <c:pt idx="18">
                  <c:v>2.5999999999999943</c:v>
                </c:pt>
                <c:pt idx="19">
                  <c:v>2.5333333333333314</c:v>
                </c:pt>
                <c:pt idx="20">
                  <c:v>-12.5</c:v>
                </c:pt>
                <c:pt idx="21">
                  <c:v>4.1999999999999886</c:v>
                </c:pt>
                <c:pt idx="22">
                  <c:v>2.2000000000000171</c:v>
                </c:pt>
                <c:pt idx="23">
                  <c:v>-4.7166666666666686</c:v>
                </c:pt>
                <c:pt idx="24">
                  <c:v>5.3000000000000114</c:v>
                </c:pt>
                <c:pt idx="25">
                  <c:v>7.5999999999999943</c:v>
                </c:pt>
                <c:pt idx="26">
                  <c:v>6.4500000000000171</c:v>
                </c:pt>
                <c:pt idx="27">
                  <c:v>6.5000000000000142</c:v>
                </c:pt>
                <c:pt idx="28">
                  <c:v>5.6000000000000227</c:v>
                </c:pt>
                <c:pt idx="29">
                  <c:v>6.0500000000000114</c:v>
                </c:pt>
                <c:pt idx="30">
                  <c:v>5.5</c:v>
                </c:pt>
                <c:pt idx="31">
                  <c:v>5.5999999999999943</c:v>
                </c:pt>
                <c:pt idx="32">
                  <c:v>10.800000000000011</c:v>
                </c:pt>
                <c:pt idx="33">
                  <c:v>7.2999999999999829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5-44D4-9A71-290E42BF4BE7}"/>
            </c:ext>
          </c:extLst>
        </c:ser>
        <c:ser>
          <c:idx val="3"/>
          <c:order val="3"/>
          <c:tx>
            <c:strRef>
              <c:f>'Solution 2 '!$B$82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'Solution 2 '!$C$82:$AJ$82</c:f>
              <c:numCache>
                <c:formatCode>General</c:formatCode>
                <c:ptCount val="34"/>
                <c:pt idx="1">
                  <c:v>1.6999999999999886</c:v>
                </c:pt>
                <c:pt idx="2">
                  <c:v>23.599999999999994</c:v>
                </c:pt>
                <c:pt idx="3">
                  <c:v>20.400000000000006</c:v>
                </c:pt>
                <c:pt idx="4">
                  <c:v>4</c:v>
                </c:pt>
                <c:pt idx="5">
                  <c:v>16.699999999999989</c:v>
                </c:pt>
                <c:pt idx="6">
                  <c:v>4.5</c:v>
                </c:pt>
                <c:pt idx="7">
                  <c:v>33.5</c:v>
                </c:pt>
                <c:pt idx="8">
                  <c:v>19.799999999999983</c:v>
                </c:pt>
                <c:pt idx="9">
                  <c:v>1.2000000000000028</c:v>
                </c:pt>
                <c:pt idx="10">
                  <c:v>12.099999999999994</c:v>
                </c:pt>
                <c:pt idx="11">
                  <c:v>13.099999999999994</c:v>
                </c:pt>
                <c:pt idx="12">
                  <c:v>6.2000000000000171</c:v>
                </c:pt>
                <c:pt idx="13">
                  <c:v>11.900000000000006</c:v>
                </c:pt>
                <c:pt idx="14">
                  <c:v>16.200000000000017</c:v>
                </c:pt>
                <c:pt idx="15">
                  <c:v>13.207142857142856</c:v>
                </c:pt>
                <c:pt idx="16">
                  <c:v>4.5</c:v>
                </c:pt>
                <c:pt idx="17">
                  <c:v>3.9000000000000057</c:v>
                </c:pt>
                <c:pt idx="18">
                  <c:v>4.4000000000000057</c:v>
                </c:pt>
                <c:pt idx="19">
                  <c:v>4.2666666666666799</c:v>
                </c:pt>
                <c:pt idx="20">
                  <c:v>4.5</c:v>
                </c:pt>
                <c:pt idx="21">
                  <c:v>0</c:v>
                </c:pt>
                <c:pt idx="22">
                  <c:v>3.5</c:v>
                </c:pt>
                <c:pt idx="23">
                  <c:v>1.75</c:v>
                </c:pt>
                <c:pt idx="24">
                  <c:v>7.1000000000000227</c:v>
                </c:pt>
                <c:pt idx="25">
                  <c:v>14.799999999999983</c:v>
                </c:pt>
                <c:pt idx="26">
                  <c:v>10.949999999999989</c:v>
                </c:pt>
                <c:pt idx="27">
                  <c:v>9.7999999999999829</c:v>
                </c:pt>
                <c:pt idx="28">
                  <c:v>5.6999999999999886</c:v>
                </c:pt>
                <c:pt idx="29">
                  <c:v>7.7499999999999716</c:v>
                </c:pt>
                <c:pt idx="30">
                  <c:v>3.3000000000000114</c:v>
                </c:pt>
                <c:pt idx="31">
                  <c:v>7.7999999999999829</c:v>
                </c:pt>
                <c:pt idx="32">
                  <c:v>8.7000000000000171</c:v>
                </c:pt>
                <c:pt idx="33">
                  <c:v>6.5999999999999943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C5-44D4-9A71-290E42BF4BE7}"/>
            </c:ext>
          </c:extLst>
        </c:ser>
        <c:ser>
          <c:idx val="4"/>
          <c:order val="4"/>
          <c:tx>
            <c:strRef>
              <c:f>'Solution 2 '!$B$83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'Solution 2 '!$C$83:$AJ$83</c:f>
              <c:numCache>
                <c:formatCode>General</c:formatCode>
                <c:ptCount val="34"/>
                <c:pt idx="1">
                  <c:v>3.7999999999999829</c:v>
                </c:pt>
                <c:pt idx="2">
                  <c:v>8.7000000000000171</c:v>
                </c:pt>
                <c:pt idx="3">
                  <c:v>2.5999999999999943</c:v>
                </c:pt>
                <c:pt idx="4">
                  <c:v>5.8000000000000114</c:v>
                </c:pt>
                <c:pt idx="5">
                  <c:v>36.699999999999989</c:v>
                </c:pt>
                <c:pt idx="6">
                  <c:v>5.3000000000000114</c:v>
                </c:pt>
                <c:pt idx="7">
                  <c:v>-5.8999999999999773</c:v>
                </c:pt>
                <c:pt idx="8">
                  <c:v>4</c:v>
                </c:pt>
                <c:pt idx="9">
                  <c:v>6.4000000000000057</c:v>
                </c:pt>
                <c:pt idx="10">
                  <c:v>6.5</c:v>
                </c:pt>
                <c:pt idx="11">
                  <c:v>12.399999999999977</c:v>
                </c:pt>
                <c:pt idx="12">
                  <c:v>10.900000000000006</c:v>
                </c:pt>
                <c:pt idx="13">
                  <c:v>7.1999999999999886</c:v>
                </c:pt>
                <c:pt idx="14">
                  <c:v>5.9000000000000057</c:v>
                </c:pt>
                <c:pt idx="15">
                  <c:v>7.8785714285714334</c:v>
                </c:pt>
                <c:pt idx="16">
                  <c:v>13</c:v>
                </c:pt>
                <c:pt idx="17">
                  <c:v>12.599999999999994</c:v>
                </c:pt>
                <c:pt idx="18">
                  <c:v>12.800000000000011</c:v>
                </c:pt>
                <c:pt idx="19">
                  <c:v>12.799999999999983</c:v>
                </c:pt>
                <c:pt idx="20">
                  <c:v>5.7000000000000171</c:v>
                </c:pt>
                <c:pt idx="21">
                  <c:v>16.199999999999989</c:v>
                </c:pt>
                <c:pt idx="22">
                  <c:v>10.199999999999989</c:v>
                </c:pt>
                <c:pt idx="23">
                  <c:v>13.199999999999989</c:v>
                </c:pt>
                <c:pt idx="24">
                  <c:v>11.299999999999983</c:v>
                </c:pt>
                <c:pt idx="25">
                  <c:v>5.7999999999999829</c:v>
                </c:pt>
                <c:pt idx="26">
                  <c:v>8.5499999999999829</c:v>
                </c:pt>
                <c:pt idx="27">
                  <c:v>13.799999999999983</c:v>
                </c:pt>
                <c:pt idx="28">
                  <c:v>11</c:v>
                </c:pt>
                <c:pt idx="29">
                  <c:v>12.399999999999977</c:v>
                </c:pt>
                <c:pt idx="30">
                  <c:v>5.2000000000000171</c:v>
                </c:pt>
                <c:pt idx="31">
                  <c:v>10.099999999999994</c:v>
                </c:pt>
                <c:pt idx="32">
                  <c:v>8.8999999999999773</c:v>
                </c:pt>
                <c:pt idx="33">
                  <c:v>8.0666666666666345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C5-44D4-9A71-290E42BF4BE7}"/>
            </c:ext>
          </c:extLst>
        </c:ser>
        <c:ser>
          <c:idx val="5"/>
          <c:order val="5"/>
          <c:tx>
            <c:strRef>
              <c:f>'Solution 2 '!$B$84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'Solution 2 '!$C$84:$AJ$84</c:f>
              <c:numCache>
                <c:formatCode>General</c:formatCode>
                <c:ptCount val="34"/>
                <c:pt idx="1">
                  <c:v>19.699999999999989</c:v>
                </c:pt>
                <c:pt idx="2">
                  <c:v>10.300000000000011</c:v>
                </c:pt>
                <c:pt idx="3">
                  <c:v>11.399999999999977</c:v>
                </c:pt>
                <c:pt idx="4">
                  <c:v>13.099999999999994</c:v>
                </c:pt>
                <c:pt idx="5">
                  <c:v>3.8000000000000114</c:v>
                </c:pt>
                <c:pt idx="6">
                  <c:v>4.3000000000000114</c:v>
                </c:pt>
                <c:pt idx="7">
                  <c:v>-14.400000000000006</c:v>
                </c:pt>
                <c:pt idx="8">
                  <c:v>6.9000000000000057</c:v>
                </c:pt>
                <c:pt idx="9">
                  <c:v>1.7999999999999972</c:v>
                </c:pt>
                <c:pt idx="10">
                  <c:v>33.099999999999994</c:v>
                </c:pt>
                <c:pt idx="11">
                  <c:v>6.6999999999999886</c:v>
                </c:pt>
                <c:pt idx="12">
                  <c:v>13</c:v>
                </c:pt>
                <c:pt idx="13">
                  <c:v>9.5</c:v>
                </c:pt>
                <c:pt idx="14">
                  <c:v>5.1000000000000227</c:v>
                </c:pt>
                <c:pt idx="15">
                  <c:v>8.8785714285714619</c:v>
                </c:pt>
                <c:pt idx="16">
                  <c:v>14.099999999999994</c:v>
                </c:pt>
                <c:pt idx="17">
                  <c:v>16.300000000000011</c:v>
                </c:pt>
                <c:pt idx="18">
                  <c:v>14.5</c:v>
                </c:pt>
                <c:pt idx="19">
                  <c:v>14.966666666666669</c:v>
                </c:pt>
                <c:pt idx="20">
                  <c:v>6.1999999999999886</c:v>
                </c:pt>
                <c:pt idx="21">
                  <c:v>17.800000000000011</c:v>
                </c:pt>
                <c:pt idx="22">
                  <c:v>11</c:v>
                </c:pt>
                <c:pt idx="23">
                  <c:v>14.400000000000034</c:v>
                </c:pt>
                <c:pt idx="24">
                  <c:v>9.6999999999999886</c:v>
                </c:pt>
                <c:pt idx="25">
                  <c:v>12.800000000000011</c:v>
                </c:pt>
                <c:pt idx="26">
                  <c:v>11.25</c:v>
                </c:pt>
                <c:pt idx="27">
                  <c:v>6.9000000000000057</c:v>
                </c:pt>
                <c:pt idx="28">
                  <c:v>7.7000000000000171</c:v>
                </c:pt>
                <c:pt idx="29">
                  <c:v>7.3000000000000114</c:v>
                </c:pt>
                <c:pt idx="30">
                  <c:v>9.4000000000000057</c:v>
                </c:pt>
                <c:pt idx="31">
                  <c:v>9.3000000000000114</c:v>
                </c:pt>
                <c:pt idx="32">
                  <c:v>10</c:v>
                </c:pt>
                <c:pt idx="33">
                  <c:v>9.5666666666666629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C5-44D4-9A71-290E42BF4BE7}"/>
            </c:ext>
          </c:extLst>
        </c:ser>
        <c:ser>
          <c:idx val="6"/>
          <c:order val="6"/>
          <c:tx>
            <c:strRef>
              <c:f>'Solution 2 '!$B$85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'Solution 2 '!$C$85:$AJ$85</c:f>
              <c:numCache>
                <c:formatCode>General</c:formatCode>
                <c:ptCount val="34"/>
                <c:pt idx="1">
                  <c:v>-0.10000000000002274</c:v>
                </c:pt>
                <c:pt idx="2">
                  <c:v>3.6000000000000227</c:v>
                </c:pt>
                <c:pt idx="3">
                  <c:v>-21.300000000000011</c:v>
                </c:pt>
                <c:pt idx="4">
                  <c:v>4.9000000000000057</c:v>
                </c:pt>
                <c:pt idx="5">
                  <c:v>-17.199999999999989</c:v>
                </c:pt>
                <c:pt idx="6">
                  <c:v>13.899999999999977</c:v>
                </c:pt>
                <c:pt idx="7">
                  <c:v>7.0999999999999943</c:v>
                </c:pt>
                <c:pt idx="8">
                  <c:v>4.6999999999999886</c:v>
                </c:pt>
                <c:pt idx="9">
                  <c:v>1.6000000000000085</c:v>
                </c:pt>
                <c:pt idx="10">
                  <c:v>9.5999999999999943</c:v>
                </c:pt>
                <c:pt idx="11">
                  <c:v>2</c:v>
                </c:pt>
                <c:pt idx="12">
                  <c:v>3</c:v>
                </c:pt>
                <c:pt idx="13">
                  <c:v>2.4000000000000057</c:v>
                </c:pt>
                <c:pt idx="14">
                  <c:v>2.8000000000000114</c:v>
                </c:pt>
                <c:pt idx="15">
                  <c:v>1.2142857142857508</c:v>
                </c:pt>
                <c:pt idx="16">
                  <c:v>2.4000000000000057</c:v>
                </c:pt>
                <c:pt idx="17">
                  <c:v>2.0999999999999943</c:v>
                </c:pt>
                <c:pt idx="18">
                  <c:v>2.3999999999999773</c:v>
                </c:pt>
                <c:pt idx="19">
                  <c:v>2.3000000000000114</c:v>
                </c:pt>
                <c:pt idx="20">
                  <c:v>3.5</c:v>
                </c:pt>
                <c:pt idx="21">
                  <c:v>0.80000000000001137</c:v>
                </c:pt>
                <c:pt idx="22">
                  <c:v>2.2999999999999829</c:v>
                </c:pt>
                <c:pt idx="23">
                  <c:v>1.5500000000000114</c:v>
                </c:pt>
                <c:pt idx="24">
                  <c:v>3.3999999999999773</c:v>
                </c:pt>
                <c:pt idx="25">
                  <c:v>6.5999999999999943</c:v>
                </c:pt>
                <c:pt idx="26">
                  <c:v>5</c:v>
                </c:pt>
                <c:pt idx="27">
                  <c:v>1.2000000000000171</c:v>
                </c:pt>
                <c:pt idx="28">
                  <c:v>1.6999999999999886</c:v>
                </c:pt>
                <c:pt idx="29">
                  <c:v>1.4499999999999886</c:v>
                </c:pt>
                <c:pt idx="30">
                  <c:v>2.7999999999999829</c:v>
                </c:pt>
                <c:pt idx="31">
                  <c:v>2.8999999999999773</c:v>
                </c:pt>
                <c:pt idx="32">
                  <c:v>2.5999999999999943</c:v>
                </c:pt>
                <c:pt idx="33">
                  <c:v>2.7666666666666515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C5-44D4-9A71-290E42BF4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646879"/>
        <c:axId val="1819636799"/>
      </c:areaChart>
      <c:catAx>
        <c:axId val="1819646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36799"/>
        <c:crosses val="autoZero"/>
        <c:auto val="1"/>
        <c:lblAlgn val="ctr"/>
        <c:lblOffset val="100"/>
        <c:noMultiLvlLbl val="0"/>
      </c:catAx>
      <c:valAx>
        <c:axId val="181963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64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'Solution 4'!$K$1</c:f>
              <c:strCache>
                <c:ptCount val="1"/>
                <c:pt idx="0">
                  <c:v>Y-O-Y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'Solution 4'!$J$2:$J$6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'Solution 4'!$K$2:$K$6</c:f>
              <c:numCache>
                <c:formatCode>0.00%</c:formatCode>
                <c:ptCount val="5"/>
                <c:pt idx="0">
                  <c:v>-4.5487439263930882E-3</c:v>
                </c:pt>
                <c:pt idx="1">
                  <c:v>-4.7772354346244774E-3</c:v>
                </c:pt>
                <c:pt idx="2">
                  <c:v>0.10330794114577915</c:v>
                </c:pt>
                <c:pt idx="3">
                  <c:v>-2.3645133831459633E-3</c:v>
                </c:pt>
                <c:pt idx="4">
                  <c:v>8.7646947288585506E-2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1-4C49-9A35-49007F5AF384}"/>
            </c:ext>
          </c:extLst>
        </c:ser>
        <c:ser>
          <c:idx val="1"/>
          <c:order val="1"/>
          <c:tx>
            <c:strRef>
              <c:f>'Solution 4'!$L$1</c:f>
              <c:strCache>
                <c:ptCount val="1"/>
                <c:pt idx="0">
                  <c:v>Y-O-Y Health2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'Solution 4'!$J$2:$J$6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'Solution 4'!$L$2:$L$6</c:f>
              <c:numCache>
                <c:formatCode>0.00%</c:formatCode>
                <c:ptCount val="5"/>
                <c:pt idx="0">
                  <c:v>6.3315425940138143E-2</c:v>
                </c:pt>
                <c:pt idx="1">
                  <c:v>2.8870443883073061E-3</c:v>
                </c:pt>
                <c:pt idx="2">
                  <c:v>4.641957538682992E-2</c:v>
                </c:pt>
                <c:pt idx="3">
                  <c:v>9.2847317744153661E-3</c:v>
                </c:pt>
                <c:pt idx="4">
                  <c:v>7.4616695059625135E-2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E1-4C49-9A35-49007F5AF384}"/>
            </c:ext>
          </c:extLst>
        </c:ser>
        <c:ser>
          <c:idx val="2"/>
          <c:order val="2"/>
          <c:tx>
            <c:strRef>
              <c:f>'Solution 4'!$M$1</c:f>
              <c:strCache>
                <c:ptCount val="1"/>
                <c:pt idx="0">
                  <c:v>Y-O-Y Essential services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'Solution 4'!$J$2:$J$6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'Solution 4'!$M$2:$M$6</c:f>
              <c:numCache>
                <c:formatCode>0.00%</c:formatCode>
                <c:ptCount val="5"/>
                <c:pt idx="0">
                  <c:v>5.5165965404394633E-2</c:v>
                </c:pt>
                <c:pt idx="1">
                  <c:v>-6.6459902525476296E-3</c:v>
                </c:pt>
                <c:pt idx="2">
                  <c:v>-3.155664585191794E-2</c:v>
                </c:pt>
                <c:pt idx="3">
                  <c:v>4.4905008635577016E-3</c:v>
                </c:pt>
                <c:pt idx="4">
                  <c:v>1.2035763411279231E-2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E1-4C49-9A35-49007F5AF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174639"/>
        <c:axId val="524180399"/>
      </c:barChart>
      <c:catAx>
        <c:axId val="52417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80399"/>
        <c:crosses val="autoZero"/>
        <c:auto val="1"/>
        <c:lblAlgn val="ctr"/>
        <c:lblOffset val="100"/>
        <c:noMultiLvlLbl val="0"/>
      </c:catAx>
      <c:valAx>
        <c:axId val="5241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7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A35AE29D-C693-4D74-9A41-7113BCC5F247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_xlchart.v1.3</cx:f>
      </cx:strDim>
      <cx:numDim type="val">
        <cx:f dir="row">_xlchart.v1.2</cx:f>
      </cx:numDim>
    </cx:data>
  </cx:chartData>
  <cx:chart>
    <cx:title pos="t" align="ctr" overlay="0"/>
    <cx:plotArea>
      <cx:plotAreaRegion>
        <cx:series layoutId="waterfall" uniqueId="{14412390-5219-4DD1-A5B5-0ABF80F8EE4B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7</xdr:row>
      <xdr:rowOff>83820</xdr:rowOff>
    </xdr:from>
    <xdr:to>
      <xdr:col>7</xdr:col>
      <xdr:colOff>685800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A0B63-0F9D-A966-82D7-7A26FF8AC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548640</xdr:colOff>
      <xdr:row>85</xdr:row>
      <xdr:rowOff>99060</xdr:rowOff>
    </xdr:from>
    <xdr:to>
      <xdr:col>17</xdr:col>
      <xdr:colOff>243840</xdr:colOff>
      <xdr:row>100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87C9F-2739-F3C1-7A68-A0F9E82A6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14</xdr:row>
      <xdr:rowOff>137160</xdr:rowOff>
    </xdr:from>
    <xdr:to>
      <xdr:col>14</xdr:col>
      <xdr:colOff>167640</xdr:colOff>
      <xdr:row>29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5498CA-243E-B766-3677-F351E5B8A0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30040" y="26974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320040</xdr:colOff>
      <xdr:row>13</xdr:row>
      <xdr:rowOff>152400</xdr:rowOff>
    </xdr:from>
    <xdr:to>
      <xdr:col>18</xdr:col>
      <xdr:colOff>198120</xdr:colOff>
      <xdr:row>28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B97BBA4-CA9B-BB33-D827-1D8219601C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5240" y="25298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7</xdr:row>
      <xdr:rowOff>7620</xdr:rowOff>
    </xdr:from>
    <xdr:to>
      <xdr:col>12</xdr:col>
      <xdr:colOff>1104900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EA5BA-68D0-7299-5412-73674C10C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47B00F-73F0-483E-B97C-DF9276DA3061}" autoFormatId="16" applyNumberFormats="0" applyBorderFormats="0" applyFontFormats="0" applyPatternFormats="0" applyAlignmentFormats="0" applyWidthHeightFormats="0">
  <queryTableRefresh nextId="40">
    <queryTableFields count="31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34" dataBound="0" tableColumnId="36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D37D9-146E-4D16-8FA8-7A373D7665C9}" name="All_India_Index_Upto_April23__1" displayName="All_India_Index_Upto_April23__1" ref="A1:AE373" tableType="queryTable" totalsRowShown="0">
  <autoFilter ref="A1:AE373" xr:uid="{D41D37D9-146E-4D16-8FA8-7A373D7665C9}"/>
  <tableColumns count="31">
    <tableColumn id="1" xr3:uid="{D73BAAFE-3111-4B9F-8B1D-4E3948BA0C29}" uniqueName="1" name="Sector" queryTableFieldId="1" dataDxfId="6"/>
    <tableColumn id="2" xr3:uid="{809AF4CF-16EE-4C01-AE47-83F6DE812D07}" uniqueName="2" name="Year" queryTableFieldId="2"/>
    <tableColumn id="3" xr3:uid="{B8A1EBAF-F20A-40DE-84EA-34C01519338F}" uniqueName="3" name="Month" queryTableFieldId="3" dataDxfId="5"/>
    <tableColumn id="4" xr3:uid="{1C227FFB-7C1C-49B1-8C11-794B1436D45C}" uniqueName="4" name="Cereals and products" queryTableFieldId="4"/>
    <tableColumn id="5" xr3:uid="{567BE07B-D53A-453A-89F3-C459E220F9B1}" uniqueName="5" name="Meat and fish" queryTableFieldId="5"/>
    <tableColumn id="6" xr3:uid="{D7589228-E4FA-49B8-9352-CCB2FBE748BB}" uniqueName="6" name="Egg" queryTableFieldId="6"/>
    <tableColumn id="7" xr3:uid="{68AFA4F7-917D-4E86-937E-888551899D75}" uniqueName="7" name="Milk and products" queryTableFieldId="7"/>
    <tableColumn id="8" xr3:uid="{756A586C-85B1-455A-8EFE-4361C237DBEE}" uniqueName="8" name="Oils and fats" queryTableFieldId="8"/>
    <tableColumn id="9" xr3:uid="{A8E6E000-6C19-496D-82DB-10C2CDF8E5E9}" uniqueName="9" name="Fruits" queryTableFieldId="9"/>
    <tableColumn id="10" xr3:uid="{B6178AD5-DCF3-4066-B73E-7A9DA17E2446}" uniqueName="10" name="Vegetables" queryTableFieldId="10"/>
    <tableColumn id="11" xr3:uid="{AB972E56-55F9-4337-A803-BF9E4741F7F3}" uniqueName="11" name="Pulses and products" queryTableFieldId="11"/>
    <tableColumn id="12" xr3:uid="{2E7AD843-6A8A-4CEE-83CF-BAA20233B38E}" uniqueName="12" name="Sugar and Confectionery" queryTableFieldId="12"/>
    <tableColumn id="13" xr3:uid="{6075C62C-2502-4C28-8C10-7805B2EB08B7}" uniqueName="13" name="Spices" queryTableFieldId="13"/>
    <tableColumn id="14" xr3:uid="{B693B0C4-623D-4FD5-B36E-C863947C9A32}" uniqueName="14" name="Non-alcoholic beverages" queryTableFieldId="14"/>
    <tableColumn id="15" xr3:uid="{FA46B6A0-05CD-4F8E-829C-245C2EF3DC37}" uniqueName="15" name="Prepared meals, snacks, sweets etc." queryTableFieldId="15"/>
    <tableColumn id="16" xr3:uid="{1BBFA3CC-FD7D-4CB5-8D99-EC61DBD9C55F}" uniqueName="16" name="Food and beverages" queryTableFieldId="16"/>
    <tableColumn id="17" xr3:uid="{B79F6E47-7C9C-4E4D-A48E-8D8BED7529A0}" uniqueName="17" name="Pan, tobacco and intoxicants" queryTableFieldId="17"/>
    <tableColumn id="18" xr3:uid="{45DE19CD-BF4A-4B78-88FC-CEF65443805E}" uniqueName="18" name="Clothing" queryTableFieldId="18"/>
    <tableColumn id="19" xr3:uid="{F174BCB6-6377-44AF-8DA2-3519FB994FD2}" uniqueName="19" name="Footwear" queryTableFieldId="19"/>
    <tableColumn id="20" xr3:uid="{DF213A94-5F54-46B5-A02D-DF69543D0D0D}" uniqueName="20" name="Clothing and footwear" queryTableFieldId="20"/>
    <tableColumn id="21" xr3:uid="{E97ED4FE-4627-48A6-97BA-85138B30827B}" uniqueName="21" name="Housing" queryTableFieldId="21" dataDxfId="4"/>
    <tableColumn id="36" xr3:uid="{5B8DB297-32AE-4A83-AAFF-AE478F65E26B}" uniqueName="36" name="Column4" queryTableFieldId="34" dataDxfId="3"/>
    <tableColumn id="22" xr3:uid="{5F14A4B0-CADA-4285-A705-0D81FB328F2E}" uniqueName="22" name="Fuel and light" queryTableFieldId="22"/>
    <tableColumn id="23" xr3:uid="{C6A4A755-3C57-4674-9E9A-EE253BF73C79}" uniqueName="23" name="Household goods and services" queryTableFieldId="23"/>
    <tableColumn id="24" xr3:uid="{72EC3597-CBB9-40B8-864D-418D4C17C5E5}" uniqueName="24" name="Health" queryTableFieldId="24"/>
    <tableColumn id="25" xr3:uid="{84DCC46C-7F82-484B-B9EA-5B44F541227E}" uniqueName="25" name="Transport and communication" queryTableFieldId="25"/>
    <tableColumn id="26" xr3:uid="{5BB7BA77-AC2A-4F0E-BC1D-37F430136AE7}" uniqueName="26" name="Recreation and amusement" queryTableFieldId="26"/>
    <tableColumn id="27" xr3:uid="{653F6CFF-CE79-476F-BA11-39CA6AF9E49B}" uniqueName="27" name="Education" queryTableFieldId="27"/>
    <tableColumn id="28" xr3:uid="{5E3501DF-08CA-49A3-9F77-C90E08A2F5B3}" uniqueName="28" name="Personal care and effects" queryTableFieldId="28"/>
    <tableColumn id="29" xr3:uid="{A6CF3417-13AC-42E4-B8B4-89DB496C6ABC}" uniqueName="29" name="Miscellaneous" queryTableFieldId="29"/>
    <tableColumn id="30" xr3:uid="{B45B1A43-63D6-43F4-A3EA-B7E2D2F9D504}" uniqueName="30" name="General index" queryTableFieldId="30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6D66-96A4-4E5A-AAD3-6F3CC3AD13E7}">
  <dimension ref="A1:AE373"/>
  <sheetViews>
    <sheetView workbookViewId="0">
      <selection activeCell="E13" sqref="E13"/>
    </sheetView>
  </sheetViews>
  <sheetFormatPr defaultRowHeight="14.4"/>
  <cols>
    <col min="1" max="1" width="11.21875" bestFit="1" customWidth="1"/>
    <col min="2" max="2" width="10.21875" customWidth="1"/>
    <col min="3" max="3" width="10" bestFit="1" customWidth="1"/>
    <col min="5" max="5" width="21" bestFit="1" customWidth="1"/>
    <col min="6" max="6" width="14.77734375" bestFit="1" customWidth="1"/>
    <col min="7" max="7" width="6.21875" bestFit="1" customWidth="1"/>
    <col min="8" max="8" width="18.5546875" bestFit="1" customWidth="1"/>
    <col min="9" max="9" width="13.44140625" bestFit="1" customWidth="1"/>
    <col min="10" max="10" width="7.77734375" bestFit="1" customWidth="1"/>
    <col min="11" max="11" width="12.44140625" bestFit="1" customWidth="1"/>
    <col min="12" max="12" width="20.21875" bestFit="1" customWidth="1"/>
    <col min="13" max="13" width="24.33203125" bestFit="1" customWidth="1"/>
    <col min="14" max="14" width="8.44140625" bestFit="1" customWidth="1"/>
    <col min="15" max="15" width="24.21875" bestFit="1" customWidth="1"/>
    <col min="16" max="16" width="33.5546875" bestFit="1" customWidth="1"/>
    <col min="17" max="17" width="20.33203125" bestFit="1" customWidth="1"/>
    <col min="18" max="18" width="27.88671875" bestFit="1" customWidth="1"/>
    <col min="19" max="19" width="10.21875" bestFit="1" customWidth="1"/>
    <col min="20" max="20" width="11.109375" bestFit="1" customWidth="1"/>
    <col min="21" max="21" width="22.21875" bestFit="1" customWidth="1"/>
    <col min="22" max="22" width="10" bestFit="1" customWidth="1"/>
    <col min="23" max="23" width="10" customWidth="1"/>
    <col min="24" max="24" width="14.44140625" bestFit="1" customWidth="1"/>
    <col min="25" max="25" width="28.88671875" bestFit="1" customWidth="1"/>
    <col min="26" max="26" width="8.6640625" bestFit="1" customWidth="1"/>
    <col min="27" max="27" width="29.109375" bestFit="1" customWidth="1"/>
    <col min="28" max="28" width="26.6640625" bestFit="1" customWidth="1"/>
    <col min="29" max="29" width="11.6640625" bestFit="1" customWidth="1"/>
    <col min="30" max="30" width="24.5546875" bestFit="1" customWidth="1"/>
    <col min="31" max="31" width="15.109375" bestFit="1" customWidth="1"/>
    <col min="32" max="32" width="14.66406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165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</row>
    <row r="3" spans="1:31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49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</row>
    <row r="4" spans="1:31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49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</row>
    <row r="5" spans="1:31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</row>
    <row r="6" spans="1:31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50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</row>
    <row r="7" spans="1:31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50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</row>
    <row r="8" spans="1:31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</row>
    <row r="9" spans="1:31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50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</row>
    <row r="10" spans="1:31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50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</row>
    <row r="11" spans="1:31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</row>
    <row r="12" spans="1:31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51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</row>
    <row r="13" spans="1:31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51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</row>
    <row r="14" spans="1:31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</row>
    <row r="15" spans="1:31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51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</row>
    <row r="16" spans="1:31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51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</row>
    <row r="17" spans="1:31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</row>
    <row r="18" spans="1:31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52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</row>
    <row r="19" spans="1:31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52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</row>
    <row r="20" spans="1:31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</row>
    <row r="21" spans="1:31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53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</row>
    <row r="22" spans="1:31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53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</row>
    <row r="23" spans="1:31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</row>
    <row r="24" spans="1:31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54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</row>
    <row r="25" spans="1:31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54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</row>
    <row r="26" spans="1:31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</row>
    <row r="27" spans="1:31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55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</row>
    <row r="28" spans="1:31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55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</row>
    <row r="29" spans="1:31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</row>
    <row r="30" spans="1:31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56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</row>
    <row r="31" spans="1:31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56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</row>
    <row r="32" spans="1:31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</row>
    <row r="33" spans="1:31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57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</row>
    <row r="34" spans="1:31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57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</row>
    <row r="35" spans="1:31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</row>
    <row r="36" spans="1:31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58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</row>
    <row r="37" spans="1:31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58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</row>
    <row r="38" spans="1:31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</row>
    <row r="39" spans="1:31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59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</row>
    <row r="40" spans="1:31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59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</row>
    <row r="41" spans="1:31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</row>
    <row r="42" spans="1:31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60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</row>
    <row r="43" spans="1:31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60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</row>
    <row r="44" spans="1:31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</row>
    <row r="45" spans="1:31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61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</row>
    <row r="46" spans="1:31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61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</row>
    <row r="47" spans="1:31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</row>
    <row r="48" spans="1:31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62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</row>
    <row r="49" spans="1:31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62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</row>
    <row r="50" spans="1:31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</row>
    <row r="51" spans="1:31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</row>
    <row r="52" spans="1:31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</row>
    <row r="53" spans="1:31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</row>
    <row r="54" spans="1:31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62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</row>
    <row r="55" spans="1:31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62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</row>
    <row r="56" spans="1:31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</row>
    <row r="57" spans="1:31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64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</row>
    <row r="58" spans="1:31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64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</row>
    <row r="59" spans="1:31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</row>
    <row r="60" spans="1:31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</row>
    <row r="61" spans="1:31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</row>
    <row r="62" spans="1:31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</row>
    <row r="63" spans="1:31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66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</row>
    <row r="64" spans="1:31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66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</row>
    <row r="65" spans="1:31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</row>
    <row r="66" spans="1:31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</row>
    <row r="67" spans="1:31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</row>
    <row r="68" spans="1:31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</row>
    <row r="69" spans="1:31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68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</row>
    <row r="70" spans="1:31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68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</row>
    <row r="71" spans="1:31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</row>
    <row r="72" spans="1:31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69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</row>
    <row r="73" spans="1:31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69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</row>
    <row r="74" spans="1:31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</row>
    <row r="75" spans="1:31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70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</row>
    <row r="76" spans="1:31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70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</row>
    <row r="77" spans="1:31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</row>
    <row r="78" spans="1:31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</row>
    <row r="79" spans="1:31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</row>
    <row r="80" spans="1:31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</row>
    <row r="81" spans="1:31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72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</row>
    <row r="82" spans="1:31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72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</row>
    <row r="83" spans="1:31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</row>
    <row r="84" spans="1:31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73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</row>
    <row r="85" spans="1:31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73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</row>
    <row r="86" spans="1:31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</row>
    <row r="87" spans="1:31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74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</row>
    <row r="88" spans="1:31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74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</row>
    <row r="89" spans="1:31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</row>
    <row r="90" spans="1:31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75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</row>
    <row r="91" spans="1:31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75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</row>
    <row r="92" spans="1:31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</row>
    <row r="93" spans="1:31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76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</row>
    <row r="94" spans="1:31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76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</row>
    <row r="95" spans="1:31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</row>
    <row r="96" spans="1:31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77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</row>
    <row r="97" spans="1:31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77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</row>
    <row r="98" spans="1:31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</row>
    <row r="99" spans="1:31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78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</row>
    <row r="100" spans="1:31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78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</row>
    <row r="101" spans="1:31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</row>
    <row r="102" spans="1:31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79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</row>
    <row r="103" spans="1:31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79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</row>
    <row r="104" spans="1:31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</row>
    <row r="105" spans="1:31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80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</row>
    <row r="106" spans="1:31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80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</row>
    <row r="107" spans="1:31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</row>
    <row r="108" spans="1:31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79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</row>
    <row r="109" spans="1:31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79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</row>
    <row r="110" spans="1:31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</row>
    <row r="111" spans="1:31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81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</row>
    <row r="112" spans="1:31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81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</row>
    <row r="113" spans="1:31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</row>
    <row r="114" spans="1:31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82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</row>
    <row r="115" spans="1:31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82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</row>
    <row r="116" spans="1:31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</row>
    <row r="117" spans="1:31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83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</row>
    <row r="118" spans="1:31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83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</row>
    <row r="119" spans="1:31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</row>
    <row r="120" spans="1:31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84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</row>
    <row r="121" spans="1:31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84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</row>
    <row r="122" spans="1:31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</row>
    <row r="123" spans="1:31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85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</row>
    <row r="124" spans="1:31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85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</row>
    <row r="125" spans="1:31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</row>
    <row r="126" spans="1:31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86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</row>
    <row r="127" spans="1:31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86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</row>
    <row r="128" spans="1:31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</row>
    <row r="129" spans="1:31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87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</row>
    <row r="130" spans="1:31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87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</row>
    <row r="131" spans="1:31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</row>
    <row r="132" spans="1:31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88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</row>
    <row r="133" spans="1:31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88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</row>
    <row r="134" spans="1:31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</row>
    <row r="135" spans="1:31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</row>
    <row r="136" spans="1:31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</row>
    <row r="137" spans="1:31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</row>
    <row r="138" spans="1:31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90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</row>
    <row r="139" spans="1:31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90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</row>
    <row r="140" spans="1:31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</row>
    <row r="141" spans="1:31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</row>
    <row r="142" spans="1:31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</row>
    <row r="143" spans="1:31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</row>
    <row r="144" spans="1:31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92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</row>
    <row r="145" spans="1:31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92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</row>
    <row r="146" spans="1:31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</row>
    <row r="147" spans="1:31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93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</row>
    <row r="148" spans="1:31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93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</row>
    <row r="149" spans="1:31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</row>
    <row r="150" spans="1:31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94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</row>
    <row r="151" spans="1:31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94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</row>
    <row r="152" spans="1:31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</row>
    <row r="153" spans="1:31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95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</row>
    <row r="154" spans="1:31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95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</row>
    <row r="155" spans="1:31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</row>
    <row r="156" spans="1:31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96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</row>
    <row r="157" spans="1:31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96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</row>
    <row r="158" spans="1:31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</row>
    <row r="159" spans="1:31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97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</row>
    <row r="160" spans="1:31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97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</row>
    <row r="161" spans="1:31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</row>
    <row r="162" spans="1:31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98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</row>
    <row r="163" spans="1:31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98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</row>
    <row r="164" spans="1:31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</row>
    <row r="165" spans="1:31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99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</row>
    <row r="166" spans="1:31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99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</row>
    <row r="167" spans="1:31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</row>
    <row r="168" spans="1:31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100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</row>
    <row r="169" spans="1:31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100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</row>
    <row r="170" spans="1:31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</row>
    <row r="171" spans="1:31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101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</row>
    <row r="172" spans="1:31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101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</row>
    <row r="173" spans="1:31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</row>
    <row r="174" spans="1:31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102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</row>
    <row r="175" spans="1:31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102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</row>
    <row r="176" spans="1:31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</row>
    <row r="177" spans="1:31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103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</row>
    <row r="178" spans="1:31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103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</row>
    <row r="179" spans="1:31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</row>
    <row r="180" spans="1:31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104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</row>
    <row r="181" spans="1:31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104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</row>
    <row r="182" spans="1:31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</row>
    <row r="183" spans="1:31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105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</row>
    <row r="184" spans="1:31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105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</row>
    <row r="185" spans="1:31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</row>
    <row r="186" spans="1:31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106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</row>
    <row r="187" spans="1:31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106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</row>
    <row r="188" spans="1:31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</row>
    <row r="189" spans="1:31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107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</row>
    <row r="190" spans="1:31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107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</row>
    <row r="191" spans="1:31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</row>
    <row r="192" spans="1:31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108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</row>
    <row r="193" spans="1:31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108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</row>
    <row r="194" spans="1:31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</row>
    <row r="195" spans="1:31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</row>
    <row r="196" spans="1:31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</row>
    <row r="197" spans="1:31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</row>
    <row r="198" spans="1:31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110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</row>
    <row r="199" spans="1:31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110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</row>
    <row r="200" spans="1:31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</row>
    <row r="201" spans="1:31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111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</row>
    <row r="202" spans="1:31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111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</row>
    <row r="203" spans="1:31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</row>
    <row r="204" spans="1:31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112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</row>
    <row r="205" spans="1:31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112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</row>
    <row r="206" spans="1:31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</row>
    <row r="207" spans="1:31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113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</row>
    <row r="208" spans="1:31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113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</row>
    <row r="209" spans="1:31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</row>
    <row r="210" spans="1:31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114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</row>
    <row r="211" spans="1:31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115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</row>
    <row r="212" spans="1:31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</row>
    <row r="213" spans="1:31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115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</row>
    <row r="214" spans="1:31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115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</row>
    <row r="215" spans="1:31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</row>
    <row r="216" spans="1:31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116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</row>
    <row r="217" spans="1:31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116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</row>
    <row r="218" spans="1:31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</row>
    <row r="219" spans="1:31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117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</row>
    <row r="220" spans="1:31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117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</row>
    <row r="221" spans="1:31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</row>
    <row r="222" spans="1:31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118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</row>
    <row r="223" spans="1:31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118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</row>
    <row r="224" spans="1:31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</row>
    <row r="225" spans="1:31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</row>
    <row r="226" spans="1:31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</row>
    <row r="227" spans="1:31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W227">
        <v>146.9</v>
      </c>
      <c r="X227">
        <v>149.5</v>
      </c>
      <c r="Y227">
        <v>151.30000000000001</v>
      </c>
      <c r="Z227">
        <v>130.19999999999999</v>
      </c>
      <c r="AA227">
        <v>145.9</v>
      </c>
      <c r="AB227">
        <v>156.69999999999999</v>
      </c>
      <c r="AC227">
        <v>133.9</v>
      </c>
      <c r="AD227">
        <v>142.9</v>
      </c>
      <c r="AE227">
        <v>142.4</v>
      </c>
    </row>
    <row r="228" spans="1:31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120</v>
      </c>
      <c r="W228">
        <v>129.4</v>
      </c>
      <c r="X228">
        <v>137.19999999999999</v>
      </c>
      <c r="Y228">
        <v>139.80000000000001</v>
      </c>
      <c r="Z228">
        <v>120.1</v>
      </c>
      <c r="AA228">
        <v>134</v>
      </c>
      <c r="AB228">
        <v>148</v>
      </c>
      <c r="AC228">
        <v>132.6</v>
      </c>
      <c r="AD228">
        <v>133.30000000000001</v>
      </c>
      <c r="AE228">
        <v>141.5</v>
      </c>
    </row>
    <row r="229" spans="1:31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120</v>
      </c>
      <c r="W229">
        <v>140.30000000000001</v>
      </c>
      <c r="X229">
        <v>143.69999999999999</v>
      </c>
      <c r="Y229">
        <v>146.9</v>
      </c>
      <c r="Z229">
        <v>124.9</v>
      </c>
      <c r="AA229">
        <v>139.19999999999999</v>
      </c>
      <c r="AB229">
        <v>151.6</v>
      </c>
      <c r="AC229">
        <v>133.4</v>
      </c>
      <c r="AD229">
        <v>138.19999999999999</v>
      </c>
      <c r="AE229">
        <v>142</v>
      </c>
    </row>
    <row r="230" spans="1:31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W230">
        <v>147.80000000000001</v>
      </c>
      <c r="X230">
        <v>149.6</v>
      </c>
      <c r="Y230">
        <v>151.69999999999999</v>
      </c>
      <c r="Z230">
        <v>130.19999999999999</v>
      </c>
      <c r="AA230">
        <v>146.4</v>
      </c>
      <c r="AB230">
        <v>157.69999999999999</v>
      </c>
      <c r="AC230">
        <v>134.80000000000001</v>
      </c>
      <c r="AD230">
        <v>143.30000000000001</v>
      </c>
      <c r="AE230">
        <v>143.6</v>
      </c>
    </row>
    <row r="231" spans="1:31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121</v>
      </c>
      <c r="W231">
        <v>130.5</v>
      </c>
      <c r="X231">
        <v>137.4</v>
      </c>
      <c r="Y231">
        <v>140.30000000000001</v>
      </c>
      <c r="Z231">
        <v>119.6</v>
      </c>
      <c r="AA231">
        <v>134.30000000000001</v>
      </c>
      <c r="AB231">
        <v>148.9</v>
      </c>
      <c r="AC231">
        <v>133.69999999999999</v>
      </c>
      <c r="AD231">
        <v>133.6</v>
      </c>
      <c r="AE231">
        <v>142.1</v>
      </c>
    </row>
    <row r="232" spans="1:31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121</v>
      </c>
      <c r="W232">
        <v>141.19999999999999</v>
      </c>
      <c r="X232">
        <v>143.80000000000001</v>
      </c>
      <c r="Y232">
        <v>147.4</v>
      </c>
      <c r="Z232">
        <v>124.6</v>
      </c>
      <c r="AA232">
        <v>139.6</v>
      </c>
      <c r="AB232">
        <v>152.5</v>
      </c>
      <c r="AC232">
        <v>134.30000000000001</v>
      </c>
      <c r="AD232">
        <v>138.6</v>
      </c>
      <c r="AE232">
        <v>142.9</v>
      </c>
    </row>
    <row r="233" spans="1:31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W233">
        <v>146.80000000000001</v>
      </c>
      <c r="X233">
        <v>150</v>
      </c>
      <c r="Y233">
        <v>152.19999999999999</v>
      </c>
      <c r="Z233">
        <v>131.19999999999999</v>
      </c>
      <c r="AA233">
        <v>147.5</v>
      </c>
      <c r="AB233">
        <v>159.1</v>
      </c>
      <c r="AC233">
        <v>136.1</v>
      </c>
      <c r="AD233">
        <v>144.19999999999999</v>
      </c>
      <c r="AE233">
        <v>144.9</v>
      </c>
    </row>
    <row r="234" spans="1:31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122</v>
      </c>
      <c r="W234">
        <v>127</v>
      </c>
      <c r="X234">
        <v>137.69999999999999</v>
      </c>
      <c r="Y234">
        <v>140.80000000000001</v>
      </c>
      <c r="Z234">
        <v>120.6</v>
      </c>
      <c r="AA234">
        <v>135</v>
      </c>
      <c r="AB234">
        <v>150.4</v>
      </c>
      <c r="AC234">
        <v>135.1</v>
      </c>
      <c r="AD234">
        <v>134.5</v>
      </c>
      <c r="AE234">
        <v>143.30000000000001</v>
      </c>
    </row>
    <row r="235" spans="1:31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122</v>
      </c>
      <c r="W235">
        <v>139.30000000000001</v>
      </c>
      <c r="X235">
        <v>144.19999999999999</v>
      </c>
      <c r="Y235">
        <v>147.9</v>
      </c>
      <c r="Z235">
        <v>125.6</v>
      </c>
      <c r="AA235">
        <v>140.5</v>
      </c>
      <c r="AB235">
        <v>154</v>
      </c>
      <c r="AC235">
        <v>135.69999999999999</v>
      </c>
      <c r="AD235">
        <v>139.5</v>
      </c>
      <c r="AE235">
        <v>144.19999999999999</v>
      </c>
    </row>
    <row r="236" spans="1:31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W236">
        <v>146.4</v>
      </c>
      <c r="X236">
        <v>150.19999999999999</v>
      </c>
      <c r="Y236">
        <v>152.69999999999999</v>
      </c>
      <c r="Z236">
        <v>131.4</v>
      </c>
      <c r="AA236">
        <v>148</v>
      </c>
      <c r="AB236">
        <v>159.69999999999999</v>
      </c>
      <c r="AC236">
        <v>138.80000000000001</v>
      </c>
      <c r="AD236">
        <v>144.9</v>
      </c>
      <c r="AE236">
        <v>145.69999999999999</v>
      </c>
    </row>
    <row r="237" spans="1:31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123</v>
      </c>
      <c r="W237">
        <v>125.5</v>
      </c>
      <c r="X237">
        <v>138.1</v>
      </c>
      <c r="Y237">
        <v>141.5</v>
      </c>
      <c r="Z237">
        <v>120.8</v>
      </c>
      <c r="AA237">
        <v>135.4</v>
      </c>
      <c r="AB237">
        <v>151.5</v>
      </c>
      <c r="AC237">
        <v>137.80000000000001</v>
      </c>
      <c r="AD237">
        <v>135.30000000000001</v>
      </c>
      <c r="AE237">
        <v>144.19999999999999</v>
      </c>
    </row>
    <row r="238" spans="1:31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123</v>
      </c>
      <c r="W238">
        <v>138.5</v>
      </c>
      <c r="X238">
        <v>144.5</v>
      </c>
      <c r="Y238">
        <v>148.5</v>
      </c>
      <c r="Z238">
        <v>125.8</v>
      </c>
      <c r="AA238">
        <v>140.9</v>
      </c>
      <c r="AB238">
        <v>154.9</v>
      </c>
      <c r="AC238">
        <v>138.4</v>
      </c>
      <c r="AD238">
        <v>140.19999999999999</v>
      </c>
      <c r="AE238">
        <v>145</v>
      </c>
    </row>
    <row r="239" spans="1:31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W239">
        <v>146.9</v>
      </c>
      <c r="X239">
        <v>150.30000000000001</v>
      </c>
      <c r="Y239">
        <v>153.4</v>
      </c>
      <c r="Z239">
        <v>131.6</v>
      </c>
      <c r="AA239">
        <v>148.30000000000001</v>
      </c>
      <c r="AB239">
        <v>160.19999999999999</v>
      </c>
      <c r="AC239">
        <v>140.19999999999999</v>
      </c>
      <c r="AD239">
        <v>145.4</v>
      </c>
      <c r="AE239">
        <v>146.69999999999999</v>
      </c>
    </row>
    <row r="240" spans="1:31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124</v>
      </c>
      <c r="W240">
        <v>126.6</v>
      </c>
      <c r="X240">
        <v>138.30000000000001</v>
      </c>
      <c r="Y240">
        <v>141.9</v>
      </c>
      <c r="Z240">
        <v>121.2</v>
      </c>
      <c r="AA240">
        <v>135.9</v>
      </c>
      <c r="AB240">
        <v>151.6</v>
      </c>
      <c r="AC240">
        <v>139</v>
      </c>
      <c r="AD240">
        <v>135.69999999999999</v>
      </c>
      <c r="AE240">
        <v>144.69999999999999</v>
      </c>
    </row>
    <row r="241" spans="1:31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124</v>
      </c>
      <c r="W241">
        <v>139.19999999999999</v>
      </c>
      <c r="X241">
        <v>144.6</v>
      </c>
      <c r="Y241">
        <v>149</v>
      </c>
      <c r="Z241">
        <v>126.1</v>
      </c>
      <c r="AA241">
        <v>141.30000000000001</v>
      </c>
      <c r="AB241">
        <v>155.19999999999999</v>
      </c>
      <c r="AC241">
        <v>139.69999999999999</v>
      </c>
      <c r="AD241">
        <v>140.69999999999999</v>
      </c>
      <c r="AE241">
        <v>145.80000000000001</v>
      </c>
    </row>
    <row r="242" spans="1:31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W242">
        <v>147.69999999999999</v>
      </c>
      <c r="X242">
        <v>150.6</v>
      </c>
      <c r="Y242">
        <v>153.69999999999999</v>
      </c>
      <c r="Z242">
        <v>131.69999999999999</v>
      </c>
      <c r="AA242">
        <v>148.69999999999999</v>
      </c>
      <c r="AB242">
        <v>160.69999999999999</v>
      </c>
      <c r="AC242">
        <v>140.30000000000001</v>
      </c>
      <c r="AD242">
        <v>145.69999999999999</v>
      </c>
      <c r="AE242">
        <v>148.30000000000001</v>
      </c>
    </row>
    <row r="243" spans="1:31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125</v>
      </c>
      <c r="W243">
        <v>128.9</v>
      </c>
      <c r="X243">
        <v>138.69999999999999</v>
      </c>
      <c r="Y243">
        <v>142.4</v>
      </c>
      <c r="Z243">
        <v>121.5</v>
      </c>
      <c r="AA243">
        <v>136.19999999999999</v>
      </c>
      <c r="AB243">
        <v>151.69999999999999</v>
      </c>
      <c r="AC243">
        <v>139.5</v>
      </c>
      <c r="AD243">
        <v>136</v>
      </c>
      <c r="AE243">
        <v>146</v>
      </c>
    </row>
    <row r="244" spans="1:31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125</v>
      </c>
      <c r="W244">
        <v>140.6</v>
      </c>
      <c r="X244">
        <v>145</v>
      </c>
      <c r="Y244">
        <v>149.4</v>
      </c>
      <c r="Z244">
        <v>126.3</v>
      </c>
      <c r="AA244">
        <v>141.69999999999999</v>
      </c>
      <c r="AB244">
        <v>155.4</v>
      </c>
      <c r="AC244">
        <v>140</v>
      </c>
      <c r="AD244">
        <v>141</v>
      </c>
      <c r="AE244">
        <v>147.19999999999999</v>
      </c>
    </row>
    <row r="245" spans="1:31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W245">
        <v>148.4</v>
      </c>
      <c r="X245">
        <v>150.9</v>
      </c>
      <c r="Y245">
        <v>154.30000000000001</v>
      </c>
      <c r="Z245">
        <v>132.1</v>
      </c>
      <c r="AA245">
        <v>149.1</v>
      </c>
      <c r="AB245">
        <v>160.80000000000001</v>
      </c>
      <c r="AC245">
        <v>140.6</v>
      </c>
      <c r="AD245">
        <v>146.1</v>
      </c>
      <c r="AE245">
        <v>149.9</v>
      </c>
    </row>
    <row r="246" spans="1:31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126</v>
      </c>
      <c r="W246">
        <v>132.19999999999999</v>
      </c>
      <c r="X246">
        <v>139.1</v>
      </c>
      <c r="Y246">
        <v>142.80000000000001</v>
      </c>
      <c r="Z246">
        <v>121.7</v>
      </c>
      <c r="AA246">
        <v>136.69999999999999</v>
      </c>
      <c r="AB246">
        <v>151.80000000000001</v>
      </c>
      <c r="AC246">
        <v>139.80000000000001</v>
      </c>
      <c r="AD246">
        <v>136.30000000000001</v>
      </c>
      <c r="AE246">
        <v>147</v>
      </c>
    </row>
    <row r="247" spans="1:31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126</v>
      </c>
      <c r="W247">
        <v>142.30000000000001</v>
      </c>
      <c r="X247">
        <v>145.30000000000001</v>
      </c>
      <c r="Y247">
        <v>149.9</v>
      </c>
      <c r="Z247">
        <v>126.6</v>
      </c>
      <c r="AA247">
        <v>142.1</v>
      </c>
      <c r="AB247">
        <v>155.5</v>
      </c>
      <c r="AC247">
        <v>140.30000000000001</v>
      </c>
      <c r="AD247">
        <v>141.30000000000001</v>
      </c>
      <c r="AE247">
        <v>148.6</v>
      </c>
    </row>
    <row r="248" spans="1:31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W248">
        <v>149.9</v>
      </c>
      <c r="X248">
        <v>151.19999999999999</v>
      </c>
      <c r="Y248">
        <v>154.80000000000001</v>
      </c>
      <c r="Z248">
        <v>135</v>
      </c>
      <c r="AA248">
        <v>149.5</v>
      </c>
      <c r="AB248">
        <v>161.1</v>
      </c>
      <c r="AC248">
        <v>140.6</v>
      </c>
      <c r="AD248">
        <v>147.1</v>
      </c>
      <c r="AE248">
        <v>152.30000000000001</v>
      </c>
    </row>
    <row r="249" spans="1:31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127</v>
      </c>
      <c r="W249">
        <v>133.6</v>
      </c>
      <c r="X249">
        <v>139.80000000000001</v>
      </c>
      <c r="Y249">
        <v>143.19999999999999</v>
      </c>
      <c r="Z249">
        <v>125.2</v>
      </c>
      <c r="AA249">
        <v>136.80000000000001</v>
      </c>
      <c r="AB249">
        <v>151.9</v>
      </c>
      <c r="AC249">
        <v>140.19999999999999</v>
      </c>
      <c r="AD249">
        <v>137.69999999999999</v>
      </c>
      <c r="AE249">
        <v>148.30000000000001</v>
      </c>
    </row>
    <row r="250" spans="1:31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127</v>
      </c>
      <c r="W250">
        <v>143.69999999999999</v>
      </c>
      <c r="X250">
        <v>145.80000000000001</v>
      </c>
      <c r="Y250">
        <v>150.4</v>
      </c>
      <c r="Z250">
        <v>129.80000000000001</v>
      </c>
      <c r="AA250">
        <v>142.30000000000001</v>
      </c>
      <c r="AB250">
        <v>155.69999999999999</v>
      </c>
      <c r="AC250">
        <v>140.4</v>
      </c>
      <c r="AD250">
        <v>142.5</v>
      </c>
      <c r="AE250">
        <v>150.4</v>
      </c>
    </row>
    <row r="251" spans="1:31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W251">
        <v>150.4</v>
      </c>
      <c r="X251">
        <v>151.69999999999999</v>
      </c>
      <c r="Y251">
        <v>155.69999999999999</v>
      </c>
      <c r="Z251">
        <v>136.30000000000001</v>
      </c>
      <c r="AA251">
        <v>150.1</v>
      </c>
      <c r="AB251">
        <v>161.69999999999999</v>
      </c>
      <c r="AC251">
        <v>142.5</v>
      </c>
      <c r="AD251">
        <v>148.1</v>
      </c>
      <c r="AE251">
        <v>151.9</v>
      </c>
    </row>
    <row r="252" spans="1:31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128</v>
      </c>
      <c r="W252">
        <v>135.1</v>
      </c>
      <c r="X252">
        <v>140.1</v>
      </c>
      <c r="Y252">
        <v>143.80000000000001</v>
      </c>
      <c r="Z252">
        <v>126.1</v>
      </c>
      <c r="AA252">
        <v>137.19999999999999</v>
      </c>
      <c r="AB252">
        <v>152.1</v>
      </c>
      <c r="AC252">
        <v>142.1</v>
      </c>
      <c r="AD252">
        <v>138.4</v>
      </c>
      <c r="AE252">
        <v>148.19999999999999</v>
      </c>
    </row>
    <row r="253" spans="1:31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128</v>
      </c>
      <c r="W253">
        <v>144.6</v>
      </c>
      <c r="X253">
        <v>146.19999999999999</v>
      </c>
      <c r="Y253">
        <v>151.19999999999999</v>
      </c>
      <c r="Z253">
        <v>130.9</v>
      </c>
      <c r="AA253">
        <v>142.80000000000001</v>
      </c>
      <c r="AB253">
        <v>156.1</v>
      </c>
      <c r="AC253">
        <v>142.30000000000001</v>
      </c>
      <c r="AD253">
        <v>143.4</v>
      </c>
      <c r="AE253">
        <v>150.19999999999999</v>
      </c>
    </row>
    <row r="254" spans="1:31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W254">
        <v>152.30000000000001</v>
      </c>
      <c r="X254">
        <v>151.80000000000001</v>
      </c>
      <c r="Y254">
        <v>156.19999999999999</v>
      </c>
      <c r="Z254">
        <v>136</v>
      </c>
      <c r="AA254">
        <v>150.4</v>
      </c>
      <c r="AB254">
        <v>161.9</v>
      </c>
      <c r="AC254">
        <v>143.4</v>
      </c>
      <c r="AD254">
        <v>148.4</v>
      </c>
      <c r="AE254">
        <v>150.4</v>
      </c>
    </row>
    <row r="255" spans="1:31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129</v>
      </c>
      <c r="W255">
        <v>138.9</v>
      </c>
      <c r="X255">
        <v>140.4</v>
      </c>
      <c r="Y255">
        <v>144.4</v>
      </c>
      <c r="Z255">
        <v>125.2</v>
      </c>
      <c r="AA255">
        <v>137.69999999999999</v>
      </c>
      <c r="AB255">
        <v>152.19999999999999</v>
      </c>
      <c r="AC255">
        <v>143.5</v>
      </c>
      <c r="AD255">
        <v>138.4</v>
      </c>
      <c r="AE255">
        <v>147.69999999999999</v>
      </c>
    </row>
    <row r="256" spans="1:31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129</v>
      </c>
      <c r="W256">
        <v>147.19999999999999</v>
      </c>
      <c r="X256">
        <v>146.4</v>
      </c>
      <c r="Y256">
        <v>151.69999999999999</v>
      </c>
      <c r="Z256">
        <v>130.30000000000001</v>
      </c>
      <c r="AA256">
        <v>143.19999999999999</v>
      </c>
      <c r="AB256">
        <v>156.19999999999999</v>
      </c>
      <c r="AC256">
        <v>143.4</v>
      </c>
      <c r="AD256">
        <v>143.6</v>
      </c>
      <c r="AE256">
        <v>149.1</v>
      </c>
    </row>
    <row r="257" spans="1:31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W257">
        <v>153.4</v>
      </c>
      <c r="X257">
        <v>151.5</v>
      </c>
      <c r="Y257">
        <v>156.69999999999999</v>
      </c>
      <c r="Z257">
        <v>135.80000000000001</v>
      </c>
      <c r="AA257">
        <v>151.19999999999999</v>
      </c>
      <c r="AB257">
        <v>161.19999999999999</v>
      </c>
      <c r="AC257">
        <v>145.1</v>
      </c>
      <c r="AD257">
        <v>148.6</v>
      </c>
      <c r="AE257">
        <v>149.80000000000001</v>
      </c>
    </row>
    <row r="258" spans="1:31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130</v>
      </c>
      <c r="W258">
        <v>141.4</v>
      </c>
      <c r="X258">
        <v>140.80000000000001</v>
      </c>
      <c r="Y258">
        <v>145</v>
      </c>
      <c r="Z258">
        <v>124.6</v>
      </c>
      <c r="AA258">
        <v>137.9</v>
      </c>
      <c r="AB258">
        <v>152.5</v>
      </c>
      <c r="AC258">
        <v>145.30000000000001</v>
      </c>
      <c r="AD258">
        <v>138.69999999999999</v>
      </c>
      <c r="AE258">
        <v>147.30000000000001</v>
      </c>
    </row>
    <row r="259" spans="1:31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130</v>
      </c>
      <c r="W259">
        <v>148.9</v>
      </c>
      <c r="X259">
        <v>146.4</v>
      </c>
      <c r="Y259">
        <v>152.30000000000001</v>
      </c>
      <c r="Z259">
        <v>129.9</v>
      </c>
      <c r="AA259">
        <v>143.69999999999999</v>
      </c>
      <c r="AB259">
        <v>156.1</v>
      </c>
      <c r="AC259">
        <v>145.19999999999999</v>
      </c>
      <c r="AD259">
        <v>143.80000000000001</v>
      </c>
      <c r="AE259">
        <v>148.6</v>
      </c>
    </row>
    <row r="260" spans="1:31">
      <c r="A260" t="s">
        <v>30</v>
      </c>
      <c r="B260">
        <v>2020</v>
      </c>
      <c r="C260" t="s">
        <v>37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W260">
        <v>148.4</v>
      </c>
      <c r="Y260">
        <v>154.30000000000001</v>
      </c>
    </row>
    <row r="261" spans="1:31">
      <c r="A261" t="s">
        <v>33</v>
      </c>
      <c r="B261">
        <v>2020</v>
      </c>
      <c r="C261" t="s">
        <v>37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131</v>
      </c>
      <c r="W261">
        <v>137.1</v>
      </c>
      <c r="Y261">
        <v>144.80000000000001</v>
      </c>
    </row>
    <row r="262" spans="1:31">
      <c r="A262" t="s">
        <v>34</v>
      </c>
      <c r="B262">
        <v>2020</v>
      </c>
      <c r="C262" t="s">
        <v>37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131</v>
      </c>
      <c r="W262">
        <v>144.1</v>
      </c>
      <c r="Y262">
        <v>150.69999999999999</v>
      </c>
    </row>
    <row r="263" spans="1:31">
      <c r="A263" t="s">
        <v>30</v>
      </c>
      <c r="B263">
        <v>2020</v>
      </c>
      <c r="C263" t="s">
        <v>38</v>
      </c>
      <c r="U263" t="s">
        <v>32</v>
      </c>
    </row>
    <row r="264" spans="1:31">
      <c r="A264" t="s">
        <v>33</v>
      </c>
      <c r="B264">
        <v>2020</v>
      </c>
      <c r="C264" t="s">
        <v>38</v>
      </c>
      <c r="U264" t="s">
        <v>32</v>
      </c>
    </row>
    <row r="265" spans="1:31">
      <c r="A265" t="s">
        <v>34</v>
      </c>
      <c r="B265">
        <v>2020</v>
      </c>
      <c r="C265" t="s">
        <v>38</v>
      </c>
      <c r="U265" t="s">
        <v>32</v>
      </c>
    </row>
    <row r="266" spans="1:31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W266">
        <v>144.9</v>
      </c>
      <c r="X266">
        <v>151.69999999999999</v>
      </c>
      <c r="Y266">
        <v>158.19999999999999</v>
      </c>
      <c r="Z266">
        <v>141.4</v>
      </c>
      <c r="AA266">
        <v>153.19999999999999</v>
      </c>
      <c r="AB266">
        <v>161.80000000000001</v>
      </c>
      <c r="AC266">
        <v>151.19999999999999</v>
      </c>
      <c r="AD266">
        <v>151.69999999999999</v>
      </c>
      <c r="AE266">
        <v>152.69999999999999</v>
      </c>
    </row>
    <row r="267" spans="1:31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132</v>
      </c>
      <c r="W267">
        <v>137.1</v>
      </c>
      <c r="X267">
        <v>140.4</v>
      </c>
      <c r="Y267">
        <v>148.1</v>
      </c>
      <c r="Z267">
        <v>129.30000000000001</v>
      </c>
      <c r="AA267">
        <v>144.5</v>
      </c>
      <c r="AB267">
        <v>152.5</v>
      </c>
      <c r="AC267">
        <v>152.19999999999999</v>
      </c>
      <c r="AD267">
        <v>142</v>
      </c>
      <c r="AE267">
        <v>150.80000000000001</v>
      </c>
    </row>
    <row r="268" spans="1:31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132</v>
      </c>
      <c r="W268">
        <v>141.9</v>
      </c>
      <c r="X268">
        <v>146.4</v>
      </c>
      <c r="Y268">
        <v>154.4</v>
      </c>
      <c r="Z268">
        <v>135</v>
      </c>
      <c r="AA268">
        <v>148.30000000000001</v>
      </c>
      <c r="AB268">
        <v>156.4</v>
      </c>
      <c r="AC268">
        <v>151.6</v>
      </c>
      <c r="AD268">
        <v>147</v>
      </c>
      <c r="AE268">
        <v>151.80000000000001</v>
      </c>
    </row>
    <row r="269" spans="1:31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W269">
        <v>144.9</v>
      </c>
      <c r="X269">
        <v>151.69999999999999</v>
      </c>
      <c r="Y269">
        <v>158.19999999999999</v>
      </c>
      <c r="Z269">
        <v>141.4</v>
      </c>
      <c r="AA269">
        <v>153.19999999999999</v>
      </c>
      <c r="AB269">
        <v>161.80000000000001</v>
      </c>
      <c r="AC269">
        <v>151.19999999999999</v>
      </c>
      <c r="AD269">
        <v>151.69999999999999</v>
      </c>
      <c r="AE269">
        <v>152.69999999999999</v>
      </c>
    </row>
    <row r="270" spans="1:31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132</v>
      </c>
      <c r="W270">
        <v>137.1</v>
      </c>
      <c r="X270">
        <v>140.4</v>
      </c>
      <c r="Y270">
        <v>148.1</v>
      </c>
      <c r="Z270">
        <v>129.30000000000001</v>
      </c>
      <c r="AA270">
        <v>144.5</v>
      </c>
      <c r="AB270">
        <v>152.5</v>
      </c>
      <c r="AC270">
        <v>152.19999999999999</v>
      </c>
      <c r="AD270">
        <v>142</v>
      </c>
      <c r="AE270">
        <v>150.80000000000001</v>
      </c>
    </row>
    <row r="271" spans="1:31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132</v>
      </c>
      <c r="W271">
        <v>141.9</v>
      </c>
      <c r="X271">
        <v>146.4</v>
      </c>
      <c r="Y271">
        <v>154.4</v>
      </c>
      <c r="Z271">
        <v>135</v>
      </c>
      <c r="AA271">
        <v>148.30000000000001</v>
      </c>
      <c r="AB271">
        <v>156.4</v>
      </c>
      <c r="AC271">
        <v>151.6</v>
      </c>
      <c r="AD271">
        <v>147</v>
      </c>
      <c r="AE271">
        <v>151.80000000000001</v>
      </c>
    </row>
    <row r="272" spans="1:31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W272">
        <v>145.80000000000001</v>
      </c>
      <c r="X272">
        <v>151.9</v>
      </c>
      <c r="Y272">
        <v>158.80000000000001</v>
      </c>
      <c r="Z272">
        <v>143.6</v>
      </c>
      <c r="AA272">
        <v>152.19999999999999</v>
      </c>
      <c r="AB272">
        <v>162.69999999999999</v>
      </c>
      <c r="AC272">
        <v>153.6</v>
      </c>
      <c r="AD272">
        <v>153</v>
      </c>
      <c r="AE272">
        <v>154.69999999999999</v>
      </c>
    </row>
    <row r="273" spans="1:31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133</v>
      </c>
      <c r="W273">
        <v>138.30000000000001</v>
      </c>
      <c r="X273">
        <v>144.5</v>
      </c>
      <c r="Y273">
        <v>148.69999999999999</v>
      </c>
      <c r="Z273">
        <v>133.9</v>
      </c>
      <c r="AA273">
        <v>141.19999999999999</v>
      </c>
      <c r="AB273">
        <v>155.5</v>
      </c>
      <c r="AC273">
        <v>155.19999999999999</v>
      </c>
      <c r="AD273">
        <v>144.80000000000001</v>
      </c>
      <c r="AE273">
        <v>152.9</v>
      </c>
    </row>
    <row r="274" spans="1:31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133</v>
      </c>
      <c r="W274">
        <v>143</v>
      </c>
      <c r="X274">
        <v>148.4</v>
      </c>
      <c r="Y274">
        <v>155</v>
      </c>
      <c r="Z274">
        <v>138.5</v>
      </c>
      <c r="AA274">
        <v>146</v>
      </c>
      <c r="AB274">
        <v>158.5</v>
      </c>
      <c r="AC274">
        <v>154.30000000000001</v>
      </c>
      <c r="AD274">
        <v>149</v>
      </c>
      <c r="AE274">
        <v>153.9</v>
      </c>
    </row>
    <row r="275" spans="1:31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W275">
        <v>146.4</v>
      </c>
      <c r="X275">
        <v>151.6</v>
      </c>
      <c r="Y275">
        <v>159.1</v>
      </c>
      <c r="Z275">
        <v>144.6</v>
      </c>
      <c r="AA275">
        <v>152.80000000000001</v>
      </c>
      <c r="AB275">
        <v>161.1</v>
      </c>
      <c r="AC275">
        <v>157.4</v>
      </c>
      <c r="AD275">
        <v>153.69999999999999</v>
      </c>
      <c r="AE275">
        <v>155.4</v>
      </c>
    </row>
    <row r="276" spans="1:31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134</v>
      </c>
      <c r="W276">
        <v>137.19999999999999</v>
      </c>
      <c r="X276">
        <v>145.4</v>
      </c>
      <c r="Y276">
        <v>150</v>
      </c>
      <c r="Z276">
        <v>135.1</v>
      </c>
      <c r="AA276">
        <v>141.80000000000001</v>
      </c>
      <c r="AB276">
        <v>154.9</v>
      </c>
      <c r="AC276">
        <v>159.80000000000001</v>
      </c>
      <c r="AD276">
        <v>146</v>
      </c>
      <c r="AE276">
        <v>154</v>
      </c>
    </row>
    <row r="277" spans="1:31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134</v>
      </c>
      <c r="W277">
        <v>142.9</v>
      </c>
      <c r="X277">
        <v>148.69999999999999</v>
      </c>
      <c r="Y277">
        <v>155.6</v>
      </c>
      <c r="Z277">
        <v>139.6</v>
      </c>
      <c r="AA277">
        <v>146.6</v>
      </c>
      <c r="AB277">
        <v>157.5</v>
      </c>
      <c r="AC277">
        <v>158.4</v>
      </c>
      <c r="AD277">
        <v>150</v>
      </c>
      <c r="AE277">
        <v>154.69999999999999</v>
      </c>
    </row>
    <row r="278" spans="1:31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W278">
        <v>146.80000000000001</v>
      </c>
      <c r="X278">
        <v>152</v>
      </c>
      <c r="Y278">
        <v>159.5</v>
      </c>
      <c r="Z278">
        <v>146.4</v>
      </c>
      <c r="AA278">
        <v>152.4</v>
      </c>
      <c r="AB278">
        <v>162.5</v>
      </c>
      <c r="AC278">
        <v>156.19999999999999</v>
      </c>
      <c r="AD278">
        <v>154.30000000000001</v>
      </c>
      <c r="AE278">
        <v>157.5</v>
      </c>
    </row>
    <row r="279" spans="1:31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135</v>
      </c>
      <c r="W279">
        <v>137.1</v>
      </c>
      <c r="X279">
        <v>145.1</v>
      </c>
      <c r="Y279">
        <v>151</v>
      </c>
      <c r="Z279">
        <v>135.4</v>
      </c>
      <c r="AA279">
        <v>142</v>
      </c>
      <c r="AB279">
        <v>155.69999999999999</v>
      </c>
      <c r="AC279">
        <v>158.1</v>
      </c>
      <c r="AD279">
        <v>146.19999999999999</v>
      </c>
      <c r="AE279">
        <v>155.19999999999999</v>
      </c>
    </row>
    <row r="280" spans="1:31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135</v>
      </c>
      <c r="W280">
        <v>143.1</v>
      </c>
      <c r="X280">
        <v>148.69999999999999</v>
      </c>
      <c r="Y280">
        <v>156.30000000000001</v>
      </c>
      <c r="Z280">
        <v>140.6</v>
      </c>
      <c r="AA280">
        <v>146.5</v>
      </c>
      <c r="AB280">
        <v>158.5</v>
      </c>
      <c r="AC280">
        <v>157</v>
      </c>
      <c r="AD280">
        <v>150.4</v>
      </c>
      <c r="AE280">
        <v>156.4</v>
      </c>
    </row>
    <row r="281" spans="1:31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W281">
        <v>147.5</v>
      </c>
      <c r="X281">
        <v>152.80000000000001</v>
      </c>
      <c r="Y281">
        <v>160.4</v>
      </c>
      <c r="Z281">
        <v>146.1</v>
      </c>
      <c r="AA281">
        <v>153.6</v>
      </c>
      <c r="AB281">
        <v>161.6</v>
      </c>
      <c r="AC281">
        <v>156.19999999999999</v>
      </c>
      <c r="AD281">
        <v>154.5</v>
      </c>
      <c r="AE281">
        <v>159.80000000000001</v>
      </c>
    </row>
    <row r="282" spans="1:31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136</v>
      </c>
      <c r="W282">
        <v>137.30000000000001</v>
      </c>
      <c r="X282">
        <v>145.1</v>
      </c>
      <c r="Y282">
        <v>152</v>
      </c>
      <c r="Z282">
        <v>135.19999999999999</v>
      </c>
      <c r="AA282">
        <v>144.4</v>
      </c>
      <c r="AB282">
        <v>156.4</v>
      </c>
      <c r="AC282">
        <v>157.9</v>
      </c>
      <c r="AD282">
        <v>146.6</v>
      </c>
      <c r="AE282">
        <v>156.69999999999999</v>
      </c>
    </row>
    <row r="283" spans="1:31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136</v>
      </c>
      <c r="W283">
        <v>143.6</v>
      </c>
      <c r="X283">
        <v>149.19999999999999</v>
      </c>
      <c r="Y283">
        <v>157.19999999999999</v>
      </c>
      <c r="Z283">
        <v>140.4</v>
      </c>
      <c r="AA283">
        <v>148.4</v>
      </c>
      <c r="AB283">
        <v>158.6</v>
      </c>
      <c r="AC283">
        <v>156.9</v>
      </c>
      <c r="AD283">
        <v>150.69999999999999</v>
      </c>
      <c r="AE283">
        <v>158.4</v>
      </c>
    </row>
    <row r="284" spans="1:31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W284">
        <v>148.69999999999999</v>
      </c>
      <c r="X284">
        <v>153.4</v>
      </c>
      <c r="Y284">
        <v>161.6</v>
      </c>
      <c r="Z284">
        <v>146.4</v>
      </c>
      <c r="AA284">
        <v>153.9</v>
      </c>
      <c r="AB284">
        <v>162.9</v>
      </c>
      <c r="AC284">
        <v>156.6</v>
      </c>
      <c r="AD284">
        <v>155.19999999999999</v>
      </c>
      <c r="AE284">
        <v>160.69999999999999</v>
      </c>
    </row>
    <row r="285" spans="1:31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137</v>
      </c>
      <c r="W285">
        <v>137.9</v>
      </c>
      <c r="X285">
        <v>145.5</v>
      </c>
      <c r="Y285">
        <v>152.9</v>
      </c>
      <c r="Z285">
        <v>135.5</v>
      </c>
      <c r="AA285">
        <v>144.30000000000001</v>
      </c>
      <c r="AB285">
        <v>156.9</v>
      </c>
      <c r="AC285">
        <v>157.9</v>
      </c>
      <c r="AD285">
        <v>146.9</v>
      </c>
      <c r="AE285">
        <v>156.9</v>
      </c>
    </row>
    <row r="286" spans="1:31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137</v>
      </c>
      <c r="W286">
        <v>144.6</v>
      </c>
      <c r="X286">
        <v>149.69999999999999</v>
      </c>
      <c r="Y286">
        <v>158.30000000000001</v>
      </c>
      <c r="Z286">
        <v>140.69999999999999</v>
      </c>
      <c r="AA286">
        <v>148.5</v>
      </c>
      <c r="AB286">
        <v>159.4</v>
      </c>
      <c r="AC286">
        <v>157.1</v>
      </c>
      <c r="AD286">
        <v>151.19999999999999</v>
      </c>
      <c r="AE286">
        <v>158.9</v>
      </c>
    </row>
    <row r="287" spans="1:31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W287">
        <v>150.9</v>
      </c>
      <c r="X287">
        <v>153.9</v>
      </c>
      <c r="Y287">
        <v>162.5</v>
      </c>
      <c r="Z287">
        <v>147.5</v>
      </c>
      <c r="AA287">
        <v>155.1</v>
      </c>
      <c r="AB287">
        <v>163.5</v>
      </c>
      <c r="AC287">
        <v>156.19999999999999</v>
      </c>
      <c r="AD287">
        <v>155.9</v>
      </c>
      <c r="AE287">
        <v>158.5</v>
      </c>
    </row>
    <row r="288" spans="1:31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138</v>
      </c>
      <c r="W288">
        <v>142.9</v>
      </c>
      <c r="X288">
        <v>145.69999999999999</v>
      </c>
      <c r="Y288">
        <v>154.1</v>
      </c>
      <c r="Z288">
        <v>136.9</v>
      </c>
      <c r="AA288">
        <v>145.4</v>
      </c>
      <c r="AB288">
        <v>156.1</v>
      </c>
      <c r="AC288">
        <v>157.69999999999999</v>
      </c>
      <c r="AD288">
        <v>147.6</v>
      </c>
      <c r="AE288">
        <v>156</v>
      </c>
    </row>
    <row r="289" spans="1:31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138</v>
      </c>
      <c r="W289">
        <v>147.9</v>
      </c>
      <c r="X289">
        <v>150</v>
      </c>
      <c r="Y289">
        <v>159.30000000000001</v>
      </c>
      <c r="Z289">
        <v>141.9</v>
      </c>
      <c r="AA289">
        <v>149.6</v>
      </c>
      <c r="AB289">
        <v>159.19999999999999</v>
      </c>
      <c r="AC289">
        <v>156.80000000000001</v>
      </c>
      <c r="AD289">
        <v>151.9</v>
      </c>
      <c r="AE289">
        <v>157.30000000000001</v>
      </c>
    </row>
    <row r="290" spans="1:31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W290">
        <v>154.4</v>
      </c>
      <c r="X290">
        <v>154.80000000000001</v>
      </c>
      <c r="Y290">
        <v>164.3</v>
      </c>
      <c r="Z290">
        <v>150.19999999999999</v>
      </c>
      <c r="AA290">
        <v>157</v>
      </c>
      <c r="AB290">
        <v>163.6</v>
      </c>
      <c r="AC290">
        <v>155.19999999999999</v>
      </c>
      <c r="AD290">
        <v>157.19999999999999</v>
      </c>
      <c r="AE290">
        <v>156.69999999999999</v>
      </c>
    </row>
    <row r="291" spans="1:31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139</v>
      </c>
      <c r="W291">
        <v>149.1</v>
      </c>
      <c r="X291">
        <v>146.5</v>
      </c>
      <c r="Y291">
        <v>156.30000000000001</v>
      </c>
      <c r="Z291">
        <v>140.5</v>
      </c>
      <c r="AA291">
        <v>147.30000000000001</v>
      </c>
      <c r="AB291">
        <v>156.6</v>
      </c>
      <c r="AC291">
        <v>156.69999999999999</v>
      </c>
      <c r="AD291">
        <v>149.30000000000001</v>
      </c>
      <c r="AE291">
        <v>156.5</v>
      </c>
    </row>
    <row r="292" spans="1:31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139</v>
      </c>
      <c r="W292">
        <v>152.4</v>
      </c>
      <c r="X292">
        <v>150.9</v>
      </c>
      <c r="Y292">
        <v>161.30000000000001</v>
      </c>
      <c r="Z292">
        <v>145.1</v>
      </c>
      <c r="AA292">
        <v>151.5</v>
      </c>
      <c r="AB292">
        <v>159.5</v>
      </c>
      <c r="AC292">
        <v>155.80000000000001</v>
      </c>
      <c r="AD292">
        <v>153.4</v>
      </c>
      <c r="AE292">
        <v>156.6</v>
      </c>
    </row>
    <row r="293" spans="1:31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W293">
        <v>156</v>
      </c>
      <c r="X293">
        <v>154.80000000000001</v>
      </c>
      <c r="Y293">
        <v>164.6</v>
      </c>
      <c r="Z293">
        <v>151.30000000000001</v>
      </c>
      <c r="AA293">
        <v>157.80000000000001</v>
      </c>
      <c r="AB293">
        <v>163.80000000000001</v>
      </c>
      <c r="AC293">
        <v>153.1</v>
      </c>
      <c r="AD293">
        <v>157.30000000000001</v>
      </c>
      <c r="AE293">
        <v>156.69999999999999</v>
      </c>
    </row>
    <row r="294" spans="1:31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W294">
        <v>154.80000000000001</v>
      </c>
      <c r="X294">
        <v>147.19999999999999</v>
      </c>
      <c r="Y294">
        <v>156.9</v>
      </c>
      <c r="Z294">
        <v>141.69999999999999</v>
      </c>
      <c r="AA294">
        <v>148.6</v>
      </c>
      <c r="AB294">
        <v>157.6</v>
      </c>
      <c r="AC294">
        <v>154.9</v>
      </c>
      <c r="AD294">
        <v>150</v>
      </c>
      <c r="AE294">
        <v>156.9</v>
      </c>
    </row>
    <row r="295" spans="1:31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W295">
        <v>155.5</v>
      </c>
      <c r="X295">
        <v>151.19999999999999</v>
      </c>
      <c r="Y295">
        <v>161.69999999999999</v>
      </c>
      <c r="Z295">
        <v>146.19999999999999</v>
      </c>
      <c r="AA295">
        <v>152.6</v>
      </c>
      <c r="AB295">
        <v>160.19999999999999</v>
      </c>
      <c r="AC295">
        <v>153.80000000000001</v>
      </c>
      <c r="AD295">
        <v>153.80000000000001</v>
      </c>
      <c r="AE295">
        <v>156.80000000000001</v>
      </c>
    </row>
    <row r="296" spans="1:31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W296">
        <v>156</v>
      </c>
      <c r="X296">
        <v>155.5</v>
      </c>
      <c r="Y296">
        <v>165.3</v>
      </c>
      <c r="Z296">
        <v>151.69999999999999</v>
      </c>
      <c r="AA296">
        <v>158.6</v>
      </c>
      <c r="AB296">
        <v>164.1</v>
      </c>
      <c r="AC296">
        <v>154.6</v>
      </c>
      <c r="AD296">
        <v>158</v>
      </c>
      <c r="AE296">
        <v>157.6</v>
      </c>
    </row>
    <row r="297" spans="1:31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W297">
        <v>154.9</v>
      </c>
      <c r="X297">
        <v>147.6</v>
      </c>
      <c r="Y297">
        <v>157.5</v>
      </c>
      <c r="Z297">
        <v>142.1</v>
      </c>
      <c r="AA297">
        <v>149.1</v>
      </c>
      <c r="AB297">
        <v>157.6</v>
      </c>
      <c r="AC297">
        <v>156.6</v>
      </c>
      <c r="AD297">
        <v>150.5</v>
      </c>
      <c r="AE297">
        <v>158</v>
      </c>
    </row>
    <row r="298" spans="1:31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W298">
        <v>155.6</v>
      </c>
      <c r="X298">
        <v>151.80000000000001</v>
      </c>
      <c r="Y298">
        <v>162.30000000000001</v>
      </c>
      <c r="Z298">
        <v>146.6</v>
      </c>
      <c r="AA298">
        <v>153.19999999999999</v>
      </c>
      <c r="AB298">
        <v>160.30000000000001</v>
      </c>
      <c r="AC298">
        <v>155.4</v>
      </c>
      <c r="AD298">
        <v>154.4</v>
      </c>
      <c r="AE298">
        <v>157.80000000000001</v>
      </c>
    </row>
    <row r="299" spans="1:31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W299">
        <v>161.69999999999999</v>
      </c>
      <c r="X299">
        <v>158.80000000000001</v>
      </c>
      <c r="Y299">
        <v>169.1</v>
      </c>
      <c r="Z299">
        <v>153.19999999999999</v>
      </c>
      <c r="AA299">
        <v>160</v>
      </c>
      <c r="AB299">
        <v>167.6</v>
      </c>
      <c r="AC299">
        <v>159.30000000000001</v>
      </c>
      <c r="AD299">
        <v>161.1</v>
      </c>
      <c r="AE299">
        <v>161.1</v>
      </c>
    </row>
    <row r="300" spans="1:31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W300">
        <v>155.5</v>
      </c>
      <c r="X300">
        <v>150.1</v>
      </c>
      <c r="Y300">
        <v>160.4</v>
      </c>
      <c r="Z300">
        <v>145</v>
      </c>
      <c r="AA300">
        <v>152.6</v>
      </c>
      <c r="AB300">
        <v>156.6</v>
      </c>
      <c r="AC300">
        <v>157.5</v>
      </c>
      <c r="AD300">
        <v>152.30000000000001</v>
      </c>
      <c r="AE300">
        <v>159.5</v>
      </c>
    </row>
    <row r="301" spans="1:31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W301">
        <v>159.4</v>
      </c>
      <c r="X301">
        <v>154.69999999999999</v>
      </c>
      <c r="Y301">
        <v>165.8</v>
      </c>
      <c r="Z301">
        <v>148.9</v>
      </c>
      <c r="AA301">
        <v>155.80000000000001</v>
      </c>
      <c r="AB301">
        <v>161.19999999999999</v>
      </c>
      <c r="AC301">
        <v>158.6</v>
      </c>
      <c r="AD301">
        <v>156.80000000000001</v>
      </c>
      <c r="AE301">
        <v>160.4</v>
      </c>
    </row>
    <row r="302" spans="1:31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W302">
        <v>162.1</v>
      </c>
      <c r="X302">
        <v>159.19999999999999</v>
      </c>
      <c r="Y302">
        <v>169.7</v>
      </c>
      <c r="Z302">
        <v>154.19999999999999</v>
      </c>
      <c r="AA302">
        <v>160.4</v>
      </c>
      <c r="AB302">
        <v>166.8</v>
      </c>
      <c r="AC302">
        <v>159.4</v>
      </c>
      <c r="AD302">
        <v>161.5</v>
      </c>
      <c r="AE302">
        <v>162.1</v>
      </c>
    </row>
    <row r="303" spans="1:31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W303">
        <v>156.1</v>
      </c>
      <c r="X303">
        <v>149.80000000000001</v>
      </c>
      <c r="Y303">
        <v>160.80000000000001</v>
      </c>
      <c r="Z303">
        <v>147.5</v>
      </c>
      <c r="AA303">
        <v>150.69999999999999</v>
      </c>
      <c r="AB303">
        <v>158.1</v>
      </c>
      <c r="AC303">
        <v>158</v>
      </c>
      <c r="AD303">
        <v>153.4</v>
      </c>
      <c r="AE303">
        <v>160.4</v>
      </c>
    </row>
    <row r="304" spans="1:31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W304">
        <v>159.80000000000001</v>
      </c>
      <c r="X304">
        <v>154.80000000000001</v>
      </c>
      <c r="Y304">
        <v>166.3</v>
      </c>
      <c r="Z304">
        <v>150.69999999999999</v>
      </c>
      <c r="AA304">
        <v>154.9</v>
      </c>
      <c r="AB304">
        <v>161.69999999999999</v>
      </c>
      <c r="AC304">
        <v>158.80000000000001</v>
      </c>
      <c r="AD304">
        <v>157.6</v>
      </c>
      <c r="AE304">
        <v>161.30000000000001</v>
      </c>
    </row>
    <row r="305" spans="1:31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W305">
        <v>162.5</v>
      </c>
      <c r="X305">
        <v>160.30000000000001</v>
      </c>
      <c r="Y305">
        <v>170.4</v>
      </c>
      <c r="Z305">
        <v>157.1</v>
      </c>
      <c r="AA305">
        <v>160.69999999999999</v>
      </c>
      <c r="AB305">
        <v>167.2</v>
      </c>
      <c r="AC305">
        <v>160.4</v>
      </c>
      <c r="AD305">
        <v>162.80000000000001</v>
      </c>
      <c r="AE305">
        <v>163.19999999999999</v>
      </c>
    </row>
    <row r="306" spans="1:31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W306">
        <v>157.69999999999999</v>
      </c>
      <c r="X306">
        <v>150.69999999999999</v>
      </c>
      <c r="Y306">
        <v>161.5</v>
      </c>
      <c r="Z306">
        <v>149.5</v>
      </c>
      <c r="AA306">
        <v>151.19999999999999</v>
      </c>
      <c r="AB306">
        <v>160.30000000000001</v>
      </c>
      <c r="AC306">
        <v>159.6</v>
      </c>
      <c r="AD306">
        <v>155</v>
      </c>
      <c r="AE306">
        <v>161.80000000000001</v>
      </c>
    </row>
    <row r="307" spans="1:31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W307">
        <v>160.69999999999999</v>
      </c>
      <c r="X307">
        <v>155.80000000000001</v>
      </c>
      <c r="Y307">
        <v>167</v>
      </c>
      <c r="Z307">
        <v>153.1</v>
      </c>
      <c r="AA307">
        <v>155.30000000000001</v>
      </c>
      <c r="AB307">
        <v>163.19999999999999</v>
      </c>
      <c r="AC307">
        <v>160.1</v>
      </c>
      <c r="AD307">
        <v>159</v>
      </c>
      <c r="AE307">
        <v>162.5</v>
      </c>
    </row>
    <row r="308" spans="1:31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W308">
        <v>163.1</v>
      </c>
      <c r="X308">
        <v>160.9</v>
      </c>
      <c r="Y308">
        <v>171.1</v>
      </c>
      <c r="Z308">
        <v>157.69999999999999</v>
      </c>
      <c r="AA308">
        <v>161.1</v>
      </c>
      <c r="AB308">
        <v>167.5</v>
      </c>
      <c r="AC308">
        <v>160.30000000000001</v>
      </c>
      <c r="AD308">
        <v>163.30000000000001</v>
      </c>
      <c r="AE308">
        <v>163.6</v>
      </c>
    </row>
    <row r="309" spans="1:31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W309">
        <v>160.69999999999999</v>
      </c>
      <c r="X309">
        <v>153.19999999999999</v>
      </c>
      <c r="Y309">
        <v>162.80000000000001</v>
      </c>
      <c r="Z309">
        <v>150.4</v>
      </c>
      <c r="AA309">
        <v>153.69999999999999</v>
      </c>
      <c r="AB309">
        <v>160.4</v>
      </c>
      <c r="AC309">
        <v>159.6</v>
      </c>
      <c r="AD309">
        <v>156</v>
      </c>
      <c r="AE309">
        <v>162.30000000000001</v>
      </c>
    </row>
    <row r="310" spans="1:31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W310">
        <v>162.6</v>
      </c>
      <c r="X310">
        <v>157.5</v>
      </c>
      <c r="Y310">
        <v>168.4</v>
      </c>
      <c r="Z310">
        <v>154</v>
      </c>
      <c r="AA310">
        <v>157.6</v>
      </c>
      <c r="AB310">
        <v>163.80000000000001</v>
      </c>
      <c r="AC310">
        <v>160</v>
      </c>
      <c r="AD310">
        <v>160</v>
      </c>
      <c r="AE310">
        <v>163.19999999999999</v>
      </c>
    </row>
    <row r="311" spans="1:31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W311">
        <v>163.69999999999999</v>
      </c>
      <c r="X311">
        <v>161.30000000000001</v>
      </c>
      <c r="Y311">
        <v>171.9</v>
      </c>
      <c r="Z311">
        <v>157.80000000000001</v>
      </c>
      <c r="AA311">
        <v>162.69999999999999</v>
      </c>
      <c r="AB311">
        <v>168.5</v>
      </c>
      <c r="AC311">
        <v>160.19999999999999</v>
      </c>
      <c r="AD311">
        <v>163.80000000000001</v>
      </c>
      <c r="AE311">
        <v>164</v>
      </c>
    </row>
    <row r="312" spans="1:31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W312">
        <v>160.80000000000001</v>
      </c>
      <c r="X312">
        <v>153.30000000000001</v>
      </c>
      <c r="Y312">
        <v>162.80000000000001</v>
      </c>
      <c r="Z312">
        <v>150.5</v>
      </c>
      <c r="AA312">
        <v>153.9</v>
      </c>
      <c r="AB312">
        <v>160.30000000000001</v>
      </c>
      <c r="AC312">
        <v>159.6</v>
      </c>
      <c r="AD312">
        <v>156</v>
      </c>
      <c r="AE312">
        <v>162.30000000000001</v>
      </c>
    </row>
    <row r="313" spans="1:31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W313">
        <v>162.6</v>
      </c>
      <c r="X313">
        <v>157.5</v>
      </c>
      <c r="Y313">
        <v>168.4</v>
      </c>
      <c r="Z313">
        <v>154</v>
      </c>
      <c r="AA313">
        <v>157.69999999999999</v>
      </c>
      <c r="AB313">
        <v>163.69999999999999</v>
      </c>
      <c r="AC313">
        <v>160</v>
      </c>
      <c r="AD313">
        <v>160</v>
      </c>
      <c r="AE313">
        <v>163.19999999999999</v>
      </c>
    </row>
    <row r="314" spans="1:31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W314">
        <v>165.5</v>
      </c>
      <c r="X314">
        <v>162</v>
      </c>
      <c r="Y314">
        <v>172.5</v>
      </c>
      <c r="Z314">
        <v>159.5</v>
      </c>
      <c r="AA314">
        <v>163.19999999999999</v>
      </c>
      <c r="AB314">
        <v>169</v>
      </c>
      <c r="AC314">
        <v>161.1</v>
      </c>
      <c r="AD314">
        <v>164.7</v>
      </c>
      <c r="AE314">
        <v>166.3</v>
      </c>
    </row>
    <row r="315" spans="1:31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W315">
        <v>162.19999999999999</v>
      </c>
      <c r="X315">
        <v>154.30000000000001</v>
      </c>
      <c r="Y315">
        <v>163.5</v>
      </c>
      <c r="Z315">
        <v>152.19999999999999</v>
      </c>
      <c r="AA315">
        <v>155.1</v>
      </c>
      <c r="AB315">
        <v>160.30000000000001</v>
      </c>
      <c r="AC315">
        <v>160.30000000000001</v>
      </c>
      <c r="AD315">
        <v>157</v>
      </c>
      <c r="AE315">
        <v>164.6</v>
      </c>
    </row>
    <row r="316" spans="1:31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W316">
        <v>164.2</v>
      </c>
      <c r="X316">
        <v>158.4</v>
      </c>
      <c r="Y316">
        <v>169.1</v>
      </c>
      <c r="Z316">
        <v>155.69999999999999</v>
      </c>
      <c r="AA316">
        <v>158.6</v>
      </c>
      <c r="AB316">
        <v>163.9</v>
      </c>
      <c r="AC316">
        <v>160.80000000000001</v>
      </c>
      <c r="AD316">
        <v>161</v>
      </c>
      <c r="AE316">
        <v>165.5</v>
      </c>
    </row>
    <row r="317" spans="1:31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W317">
        <v>165.3</v>
      </c>
      <c r="X317">
        <v>162.9</v>
      </c>
      <c r="Y317">
        <v>173.4</v>
      </c>
      <c r="Z317">
        <v>158.9</v>
      </c>
      <c r="AA317">
        <v>163.80000000000001</v>
      </c>
      <c r="AB317">
        <v>169.3</v>
      </c>
      <c r="AC317">
        <v>162.4</v>
      </c>
      <c r="AD317">
        <v>165.2</v>
      </c>
      <c r="AE317">
        <v>167.6</v>
      </c>
    </row>
    <row r="318" spans="1:31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W318">
        <v>161.6</v>
      </c>
      <c r="X318">
        <v>155.19999999999999</v>
      </c>
      <c r="Y318">
        <v>164.2</v>
      </c>
      <c r="Z318">
        <v>151.19999999999999</v>
      </c>
      <c r="AA318">
        <v>156.69999999999999</v>
      </c>
      <c r="AB318">
        <v>160.80000000000001</v>
      </c>
      <c r="AC318">
        <v>161.80000000000001</v>
      </c>
      <c r="AD318">
        <v>157.30000000000001</v>
      </c>
      <c r="AE318">
        <v>165.6</v>
      </c>
    </row>
    <row r="319" spans="1:31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W319">
        <v>163.9</v>
      </c>
      <c r="X319">
        <v>159.30000000000001</v>
      </c>
      <c r="Y319">
        <v>169.9</v>
      </c>
      <c r="Z319">
        <v>154.80000000000001</v>
      </c>
      <c r="AA319">
        <v>159.80000000000001</v>
      </c>
      <c r="AB319">
        <v>164.3</v>
      </c>
      <c r="AC319">
        <v>162.19999999999999</v>
      </c>
      <c r="AD319">
        <v>161.4</v>
      </c>
      <c r="AE319">
        <v>166.7</v>
      </c>
    </row>
    <row r="320" spans="1:31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W320">
        <v>165.6</v>
      </c>
      <c r="X320">
        <v>163.9</v>
      </c>
      <c r="Y320">
        <v>174</v>
      </c>
      <c r="Z320">
        <v>160.1</v>
      </c>
      <c r="AA320">
        <v>164.5</v>
      </c>
      <c r="AB320">
        <v>169.7</v>
      </c>
      <c r="AC320">
        <v>162.80000000000001</v>
      </c>
      <c r="AD320">
        <v>166</v>
      </c>
      <c r="AE320">
        <v>167</v>
      </c>
    </row>
    <row r="321" spans="1:31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W321">
        <v>161.69999999999999</v>
      </c>
      <c r="X321">
        <v>156</v>
      </c>
      <c r="Y321">
        <v>165.1</v>
      </c>
      <c r="Z321">
        <v>151.80000000000001</v>
      </c>
      <c r="AA321">
        <v>157.6</v>
      </c>
      <c r="AB321">
        <v>160.6</v>
      </c>
      <c r="AC321">
        <v>162.4</v>
      </c>
      <c r="AD321">
        <v>157.80000000000001</v>
      </c>
      <c r="AE321">
        <v>165.2</v>
      </c>
    </row>
    <row r="322" spans="1:31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W322">
        <v>164.1</v>
      </c>
      <c r="X322">
        <v>160.19999999999999</v>
      </c>
      <c r="Y322">
        <v>170.6</v>
      </c>
      <c r="Z322">
        <v>155.69999999999999</v>
      </c>
      <c r="AA322">
        <v>160.6</v>
      </c>
      <c r="AB322">
        <v>164.4</v>
      </c>
      <c r="AC322">
        <v>162.6</v>
      </c>
      <c r="AD322">
        <v>162</v>
      </c>
      <c r="AE322">
        <v>166.2</v>
      </c>
    </row>
    <row r="323" spans="1:31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W323">
        <v>165.8</v>
      </c>
      <c r="X323">
        <v>164.9</v>
      </c>
      <c r="Y323">
        <v>174.7</v>
      </c>
      <c r="Z323">
        <v>160.80000000000001</v>
      </c>
      <c r="AA323">
        <v>164.9</v>
      </c>
      <c r="AB323">
        <v>169.9</v>
      </c>
      <c r="AC323">
        <v>163.19999999999999</v>
      </c>
      <c r="AD323">
        <v>166.6</v>
      </c>
      <c r="AE323">
        <v>166.4</v>
      </c>
    </row>
    <row r="324" spans="1:31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W324">
        <v>161.6</v>
      </c>
      <c r="X324">
        <v>156.80000000000001</v>
      </c>
      <c r="Y324">
        <v>166.1</v>
      </c>
      <c r="Z324">
        <v>152.69999999999999</v>
      </c>
      <c r="AA324">
        <v>158.4</v>
      </c>
      <c r="AB324">
        <v>161</v>
      </c>
      <c r="AC324">
        <v>162.80000000000001</v>
      </c>
      <c r="AD324">
        <v>158.6</v>
      </c>
      <c r="AE324">
        <v>165</v>
      </c>
    </row>
    <row r="325" spans="1:31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W325">
        <v>164.2</v>
      </c>
      <c r="X325">
        <v>161.1</v>
      </c>
      <c r="Y325">
        <v>171.4</v>
      </c>
      <c r="Z325">
        <v>156.5</v>
      </c>
      <c r="AA325">
        <v>161.19999999999999</v>
      </c>
      <c r="AB325">
        <v>164.7</v>
      </c>
      <c r="AC325">
        <v>163</v>
      </c>
      <c r="AD325">
        <v>162.69999999999999</v>
      </c>
      <c r="AE325">
        <v>165.7</v>
      </c>
    </row>
    <row r="326" spans="1:31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W326">
        <v>167.4</v>
      </c>
      <c r="X326">
        <v>165.7</v>
      </c>
      <c r="Y326">
        <v>175.3</v>
      </c>
      <c r="Z326">
        <v>161.19999999999999</v>
      </c>
      <c r="AA326">
        <v>165.5</v>
      </c>
      <c r="AB326">
        <v>170.3</v>
      </c>
      <c r="AC326">
        <v>164.5</v>
      </c>
      <c r="AD326">
        <v>167.3</v>
      </c>
      <c r="AE326">
        <v>166.7</v>
      </c>
    </row>
    <row r="327" spans="1:31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W327">
        <v>163</v>
      </c>
      <c r="X327">
        <v>157.4</v>
      </c>
      <c r="Y327">
        <v>167.2</v>
      </c>
      <c r="Z327">
        <v>153.1</v>
      </c>
      <c r="AA327">
        <v>159.5</v>
      </c>
      <c r="AB327">
        <v>162</v>
      </c>
      <c r="AC327">
        <v>164.2</v>
      </c>
      <c r="AD327">
        <v>159.4</v>
      </c>
      <c r="AE327">
        <v>165.5</v>
      </c>
    </row>
    <row r="328" spans="1:31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W328">
        <v>165.7</v>
      </c>
      <c r="X328">
        <v>161.80000000000001</v>
      </c>
      <c r="Y328">
        <v>172.2</v>
      </c>
      <c r="Z328">
        <v>156.9</v>
      </c>
      <c r="AA328">
        <v>162.1</v>
      </c>
      <c r="AB328">
        <v>165.4</v>
      </c>
      <c r="AC328">
        <v>164.4</v>
      </c>
      <c r="AD328">
        <v>163.5</v>
      </c>
      <c r="AE328">
        <v>166.1</v>
      </c>
    </row>
    <row r="329" spans="1:31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W329">
        <v>168.9</v>
      </c>
      <c r="X329">
        <v>166.5</v>
      </c>
      <c r="Y329">
        <v>176</v>
      </c>
      <c r="Z329">
        <v>162</v>
      </c>
      <c r="AA329">
        <v>166.6</v>
      </c>
      <c r="AB329">
        <v>170.6</v>
      </c>
      <c r="AC329">
        <v>167.4</v>
      </c>
      <c r="AD329">
        <v>168.3</v>
      </c>
      <c r="AE329">
        <v>168.7</v>
      </c>
    </row>
    <row r="330" spans="1:31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W330">
        <v>164.5</v>
      </c>
      <c r="X330">
        <v>158.6</v>
      </c>
      <c r="Y330">
        <v>168.2</v>
      </c>
      <c r="Z330">
        <v>154.19999999999999</v>
      </c>
      <c r="AA330">
        <v>160.80000000000001</v>
      </c>
      <c r="AB330">
        <v>162.69999999999999</v>
      </c>
      <c r="AC330">
        <v>166.8</v>
      </c>
      <c r="AD330">
        <v>160.6</v>
      </c>
      <c r="AE330">
        <v>166.5</v>
      </c>
    </row>
    <row r="331" spans="1:31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W331">
        <v>167.2</v>
      </c>
      <c r="X331">
        <v>162.80000000000001</v>
      </c>
      <c r="Y331">
        <v>173</v>
      </c>
      <c r="Z331">
        <v>157.9</v>
      </c>
      <c r="AA331">
        <v>163.30000000000001</v>
      </c>
      <c r="AB331">
        <v>166</v>
      </c>
      <c r="AC331">
        <v>167.2</v>
      </c>
      <c r="AD331">
        <v>164.6</v>
      </c>
      <c r="AE331">
        <v>167.7</v>
      </c>
    </row>
    <row r="332" spans="1:31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W332">
        <v>173.3</v>
      </c>
      <c r="X332">
        <v>167.7</v>
      </c>
      <c r="Y332">
        <v>177</v>
      </c>
      <c r="Z332">
        <v>166.2</v>
      </c>
      <c r="AA332">
        <v>167.2</v>
      </c>
      <c r="AB332">
        <v>170.9</v>
      </c>
      <c r="AC332">
        <v>169</v>
      </c>
      <c r="AD332">
        <v>170.2</v>
      </c>
      <c r="AE332">
        <v>170.8</v>
      </c>
    </row>
    <row r="333" spans="1:31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W333">
        <v>170.5</v>
      </c>
      <c r="X333">
        <v>159.80000000000001</v>
      </c>
      <c r="Y333">
        <v>169</v>
      </c>
      <c r="Z333">
        <v>159.30000000000001</v>
      </c>
      <c r="AA333">
        <v>162.19999999999999</v>
      </c>
      <c r="AB333">
        <v>164</v>
      </c>
      <c r="AC333">
        <v>168.4</v>
      </c>
      <c r="AD333">
        <v>163.1</v>
      </c>
      <c r="AE333">
        <v>169.2</v>
      </c>
    </row>
    <row r="334" spans="1:31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W334">
        <v>172.2</v>
      </c>
      <c r="X334">
        <v>164</v>
      </c>
      <c r="Y334">
        <v>174</v>
      </c>
      <c r="Z334">
        <v>162.6</v>
      </c>
      <c r="AA334">
        <v>164.4</v>
      </c>
      <c r="AB334">
        <v>166.9</v>
      </c>
      <c r="AC334">
        <v>168.8</v>
      </c>
      <c r="AD334">
        <v>166.8</v>
      </c>
      <c r="AE334">
        <v>170.1</v>
      </c>
    </row>
    <row r="335" spans="1:31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W335">
        <v>175.3</v>
      </c>
      <c r="X335">
        <v>168.9</v>
      </c>
      <c r="Y335">
        <v>177.7</v>
      </c>
      <c r="Z335">
        <v>167.1</v>
      </c>
      <c r="AA335">
        <v>167.6</v>
      </c>
      <c r="AB335">
        <v>171.8</v>
      </c>
      <c r="AC335">
        <v>168.5</v>
      </c>
      <c r="AD335">
        <v>170.9</v>
      </c>
      <c r="AE335">
        <v>172.5</v>
      </c>
    </row>
    <row r="336" spans="1:31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W336">
        <v>173.5</v>
      </c>
      <c r="X336">
        <v>161.1</v>
      </c>
      <c r="Y336">
        <v>170.1</v>
      </c>
      <c r="Z336">
        <v>159.4</v>
      </c>
      <c r="AA336">
        <v>163.19999999999999</v>
      </c>
      <c r="AB336">
        <v>165.2</v>
      </c>
      <c r="AC336">
        <v>168.2</v>
      </c>
      <c r="AD336">
        <v>163.80000000000001</v>
      </c>
      <c r="AE336">
        <v>170.8</v>
      </c>
    </row>
    <row r="337" spans="1:31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W337">
        <v>174.6</v>
      </c>
      <c r="X337">
        <v>165.2</v>
      </c>
      <c r="Y337">
        <v>174.8</v>
      </c>
      <c r="Z337">
        <v>163</v>
      </c>
      <c r="AA337">
        <v>165.1</v>
      </c>
      <c r="AB337">
        <v>167.9</v>
      </c>
      <c r="AC337">
        <v>168.4</v>
      </c>
      <c r="AD337">
        <v>167.5</v>
      </c>
      <c r="AE337">
        <v>171.7</v>
      </c>
    </row>
    <row r="338" spans="1:31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W338">
        <v>176.7</v>
      </c>
      <c r="X338">
        <v>170.3</v>
      </c>
      <c r="Y338">
        <v>178.2</v>
      </c>
      <c r="Z338">
        <v>165.5</v>
      </c>
      <c r="AA338">
        <v>168</v>
      </c>
      <c r="AB338">
        <v>172.6</v>
      </c>
      <c r="AC338">
        <v>169.5</v>
      </c>
      <c r="AD338">
        <v>171</v>
      </c>
      <c r="AE338">
        <v>173.6</v>
      </c>
    </row>
    <row r="339" spans="1:31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W339">
        <v>174.9</v>
      </c>
      <c r="X339">
        <v>162.1</v>
      </c>
      <c r="Y339">
        <v>170.9</v>
      </c>
      <c r="Z339">
        <v>157.19999999999999</v>
      </c>
      <c r="AA339">
        <v>164.1</v>
      </c>
      <c r="AB339">
        <v>166.5</v>
      </c>
      <c r="AC339">
        <v>169.2</v>
      </c>
      <c r="AD339">
        <v>163.80000000000001</v>
      </c>
      <c r="AE339">
        <v>171.4</v>
      </c>
    </row>
    <row r="340" spans="1:31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W340">
        <v>176</v>
      </c>
      <c r="X340">
        <v>166.4</v>
      </c>
      <c r="Y340">
        <v>175.4</v>
      </c>
      <c r="Z340">
        <v>161.1</v>
      </c>
      <c r="AA340">
        <v>165.8</v>
      </c>
      <c r="AB340">
        <v>169</v>
      </c>
      <c r="AC340">
        <v>169.4</v>
      </c>
      <c r="AD340">
        <v>167.5</v>
      </c>
      <c r="AE340">
        <v>172.6</v>
      </c>
    </row>
    <row r="341" spans="1:31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W341">
        <v>179.6</v>
      </c>
      <c r="X341">
        <v>171.3</v>
      </c>
      <c r="Y341">
        <v>178.8</v>
      </c>
      <c r="Z341">
        <v>166.3</v>
      </c>
      <c r="AA341">
        <v>168.6</v>
      </c>
      <c r="AB341">
        <v>174.7</v>
      </c>
      <c r="AC341">
        <v>169.7</v>
      </c>
      <c r="AD341">
        <v>171.8</v>
      </c>
      <c r="AE341">
        <v>174.3</v>
      </c>
    </row>
    <row r="342" spans="1:31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W342">
        <v>179.5</v>
      </c>
      <c r="X342">
        <v>163.1</v>
      </c>
      <c r="Y342">
        <v>171.7</v>
      </c>
      <c r="Z342">
        <v>157.4</v>
      </c>
      <c r="AA342">
        <v>164.6</v>
      </c>
      <c r="AB342">
        <v>169.1</v>
      </c>
      <c r="AC342">
        <v>169.8</v>
      </c>
      <c r="AD342">
        <v>164.7</v>
      </c>
      <c r="AE342">
        <v>172.3</v>
      </c>
    </row>
    <row r="343" spans="1:31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W343">
        <v>179.6</v>
      </c>
      <c r="X343">
        <v>167.4</v>
      </c>
      <c r="Y343">
        <v>176.1</v>
      </c>
      <c r="Z343">
        <v>161.6</v>
      </c>
      <c r="AA343">
        <v>166.3</v>
      </c>
      <c r="AB343">
        <v>171.4</v>
      </c>
      <c r="AC343">
        <v>169.7</v>
      </c>
      <c r="AD343">
        <v>168.4</v>
      </c>
      <c r="AE343">
        <v>173.4</v>
      </c>
    </row>
    <row r="344" spans="1:31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W344">
        <v>179.1</v>
      </c>
      <c r="X344">
        <v>172.3</v>
      </c>
      <c r="Y344">
        <v>179.4</v>
      </c>
      <c r="Z344">
        <v>166.6</v>
      </c>
      <c r="AA344">
        <v>169.3</v>
      </c>
      <c r="AB344">
        <v>175.7</v>
      </c>
      <c r="AC344">
        <v>171.1</v>
      </c>
      <c r="AD344">
        <v>172.6</v>
      </c>
      <c r="AE344">
        <v>175.3</v>
      </c>
    </row>
    <row r="345" spans="1:31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W345">
        <v>178.4</v>
      </c>
      <c r="X345">
        <v>164.2</v>
      </c>
      <c r="Y345">
        <v>172.6</v>
      </c>
      <c r="Z345">
        <v>157.69999999999999</v>
      </c>
      <c r="AA345">
        <v>165.1</v>
      </c>
      <c r="AB345">
        <v>169.9</v>
      </c>
      <c r="AC345">
        <v>171.4</v>
      </c>
      <c r="AD345">
        <v>165.4</v>
      </c>
      <c r="AE345">
        <v>173.1</v>
      </c>
    </row>
    <row r="346" spans="1:31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W346">
        <v>178.8</v>
      </c>
      <c r="X346">
        <v>168.5</v>
      </c>
      <c r="Y346">
        <v>176.8</v>
      </c>
      <c r="Z346">
        <v>161.9</v>
      </c>
      <c r="AA346">
        <v>166.9</v>
      </c>
      <c r="AB346">
        <v>172.3</v>
      </c>
      <c r="AC346">
        <v>171.2</v>
      </c>
      <c r="AD346">
        <v>169.1</v>
      </c>
      <c r="AE346">
        <v>174.3</v>
      </c>
    </row>
    <row r="347" spans="1:31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W347">
        <v>179.7</v>
      </c>
      <c r="X347">
        <v>173.6</v>
      </c>
      <c r="Y347">
        <v>180.2</v>
      </c>
      <c r="Z347">
        <v>166.9</v>
      </c>
      <c r="AA347">
        <v>170</v>
      </c>
      <c r="AB347">
        <v>176.2</v>
      </c>
      <c r="AC347">
        <v>170.8</v>
      </c>
      <c r="AD347">
        <v>173.1</v>
      </c>
      <c r="AE347">
        <v>176.4</v>
      </c>
    </row>
    <row r="348" spans="1:31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W348">
        <v>179.2</v>
      </c>
      <c r="X348">
        <v>165</v>
      </c>
      <c r="Y348">
        <v>173.8</v>
      </c>
      <c r="Z348">
        <v>158.19999999999999</v>
      </c>
      <c r="AA348">
        <v>165.8</v>
      </c>
      <c r="AB348">
        <v>170.9</v>
      </c>
      <c r="AC348">
        <v>171.1</v>
      </c>
      <c r="AD348">
        <v>166.1</v>
      </c>
      <c r="AE348">
        <v>174.1</v>
      </c>
    </row>
    <row r="349" spans="1:31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W349">
        <v>179.5</v>
      </c>
      <c r="X349">
        <v>169.5</v>
      </c>
      <c r="Y349">
        <v>177.8</v>
      </c>
      <c r="Z349">
        <v>162.30000000000001</v>
      </c>
      <c r="AA349">
        <v>167.6</v>
      </c>
      <c r="AB349">
        <v>173.1</v>
      </c>
      <c r="AC349">
        <v>170.9</v>
      </c>
      <c r="AD349">
        <v>169.7</v>
      </c>
      <c r="AE349">
        <v>175.3</v>
      </c>
    </row>
    <row r="350" spans="1:31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W350">
        <v>180.8</v>
      </c>
      <c r="X350">
        <v>174.4</v>
      </c>
      <c r="Y350">
        <v>181.2</v>
      </c>
      <c r="Z350">
        <v>167.4</v>
      </c>
      <c r="AA350">
        <v>170.6</v>
      </c>
      <c r="AB350">
        <v>176.5</v>
      </c>
      <c r="AC350">
        <v>172</v>
      </c>
      <c r="AD350">
        <v>173.9</v>
      </c>
      <c r="AE350">
        <v>177.9</v>
      </c>
    </row>
    <row r="351" spans="1:31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W351">
        <v>180</v>
      </c>
      <c r="X351">
        <v>166</v>
      </c>
      <c r="Y351">
        <v>174.7</v>
      </c>
      <c r="Z351">
        <v>158.80000000000001</v>
      </c>
      <c r="AA351">
        <v>166.3</v>
      </c>
      <c r="AB351">
        <v>171.2</v>
      </c>
      <c r="AC351">
        <v>172.3</v>
      </c>
      <c r="AD351">
        <v>166.8</v>
      </c>
      <c r="AE351">
        <v>175.3</v>
      </c>
    </row>
    <row r="352" spans="1:31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W352">
        <v>180.5</v>
      </c>
      <c r="X352">
        <v>170.4</v>
      </c>
      <c r="Y352">
        <v>178.7</v>
      </c>
      <c r="Z352">
        <v>162.9</v>
      </c>
      <c r="AA352">
        <v>168.2</v>
      </c>
      <c r="AB352">
        <v>173.4</v>
      </c>
      <c r="AC352">
        <v>172.1</v>
      </c>
      <c r="AD352">
        <v>170.5</v>
      </c>
      <c r="AE352">
        <v>176.7</v>
      </c>
    </row>
    <row r="353" spans="1:31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W353">
        <v>181.9</v>
      </c>
      <c r="X353">
        <v>175.5</v>
      </c>
      <c r="Y353">
        <v>182.3</v>
      </c>
      <c r="Z353">
        <v>167.5</v>
      </c>
      <c r="AA353">
        <v>170.8</v>
      </c>
      <c r="AB353">
        <v>176.9</v>
      </c>
      <c r="AC353">
        <v>173.4</v>
      </c>
      <c r="AD353">
        <v>174.6</v>
      </c>
      <c r="AE353">
        <v>177.8</v>
      </c>
    </row>
    <row r="354" spans="1:31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W354">
        <v>180.3</v>
      </c>
      <c r="X354">
        <v>166.9</v>
      </c>
      <c r="Y354">
        <v>175.8</v>
      </c>
      <c r="Z354">
        <v>158.9</v>
      </c>
      <c r="AA354">
        <v>166.7</v>
      </c>
      <c r="AB354">
        <v>171.5</v>
      </c>
      <c r="AC354">
        <v>173.8</v>
      </c>
      <c r="AD354">
        <v>167.4</v>
      </c>
      <c r="AE354">
        <v>174.1</v>
      </c>
    </row>
    <row r="355" spans="1:31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W355">
        <v>181.3</v>
      </c>
      <c r="X355">
        <v>171.4</v>
      </c>
      <c r="Y355">
        <v>179.8</v>
      </c>
      <c r="Z355">
        <v>163</v>
      </c>
      <c r="AA355">
        <v>168.5</v>
      </c>
      <c r="AB355">
        <v>173.7</v>
      </c>
      <c r="AC355">
        <v>173.6</v>
      </c>
      <c r="AD355">
        <v>171.1</v>
      </c>
      <c r="AE355">
        <v>176.5</v>
      </c>
    </row>
    <row r="356" spans="1:31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W356">
        <v>182.8</v>
      </c>
      <c r="X356">
        <v>176.4</v>
      </c>
      <c r="Y356">
        <v>183.5</v>
      </c>
      <c r="Z356">
        <v>167.8</v>
      </c>
      <c r="AA356">
        <v>171.2</v>
      </c>
      <c r="AB356">
        <v>177.3</v>
      </c>
      <c r="AC356">
        <v>175.7</v>
      </c>
      <c r="AD356">
        <v>175.5</v>
      </c>
      <c r="AE356">
        <v>177.1</v>
      </c>
    </row>
    <row r="357" spans="1:31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W357">
        <v>180.6</v>
      </c>
      <c r="X357">
        <v>167.3</v>
      </c>
      <c r="Y357">
        <v>177.2</v>
      </c>
      <c r="Z357">
        <v>159.4</v>
      </c>
      <c r="AA357">
        <v>167.1</v>
      </c>
      <c r="AB357">
        <v>171.8</v>
      </c>
      <c r="AC357">
        <v>176</v>
      </c>
      <c r="AD357">
        <v>168.2</v>
      </c>
      <c r="AE357">
        <v>174.1</v>
      </c>
    </row>
    <row r="358" spans="1:31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W358">
        <v>182</v>
      </c>
      <c r="X358">
        <v>172.1</v>
      </c>
      <c r="Y358">
        <v>181.1</v>
      </c>
      <c r="Z358">
        <v>163.4</v>
      </c>
      <c r="AA358">
        <v>168.9</v>
      </c>
      <c r="AB358">
        <v>174.1</v>
      </c>
      <c r="AC358">
        <v>175.8</v>
      </c>
      <c r="AD358">
        <v>172</v>
      </c>
      <c r="AE358">
        <v>175.7</v>
      </c>
    </row>
    <row r="359" spans="1:31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W359">
        <v>183.2</v>
      </c>
      <c r="X359">
        <v>177.2</v>
      </c>
      <c r="Y359">
        <v>184.7</v>
      </c>
      <c r="Z359">
        <v>168.2</v>
      </c>
      <c r="AA359">
        <v>171.8</v>
      </c>
      <c r="AB359">
        <v>177.8</v>
      </c>
      <c r="AC359">
        <v>178.4</v>
      </c>
      <c r="AD359">
        <v>176.5</v>
      </c>
      <c r="AE359">
        <v>177.8</v>
      </c>
    </row>
    <row r="360" spans="1:31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W360">
        <v>180.1</v>
      </c>
      <c r="X360">
        <v>168</v>
      </c>
      <c r="Y360">
        <v>178.5</v>
      </c>
      <c r="Z360">
        <v>159.5</v>
      </c>
      <c r="AA360">
        <v>167.8</v>
      </c>
      <c r="AB360">
        <v>171.8</v>
      </c>
      <c r="AC360">
        <v>178.8</v>
      </c>
      <c r="AD360">
        <v>168.9</v>
      </c>
      <c r="AE360">
        <v>174.9</v>
      </c>
    </row>
    <row r="361" spans="1:31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W361">
        <v>182</v>
      </c>
      <c r="X361">
        <v>172.9</v>
      </c>
      <c r="Y361">
        <v>182.3</v>
      </c>
      <c r="Z361">
        <v>163.6</v>
      </c>
      <c r="AA361">
        <v>169.5</v>
      </c>
      <c r="AB361">
        <v>174.3</v>
      </c>
      <c r="AC361">
        <v>178.6</v>
      </c>
      <c r="AD361">
        <v>172.8</v>
      </c>
      <c r="AE361">
        <v>176.5</v>
      </c>
    </row>
    <row r="362" spans="1:31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W362">
        <v>181.6</v>
      </c>
      <c r="X362">
        <v>178.6</v>
      </c>
      <c r="Y362">
        <v>186.6</v>
      </c>
      <c r="Z362">
        <v>169</v>
      </c>
      <c r="AA362">
        <v>172.8</v>
      </c>
      <c r="AB362">
        <v>178.5</v>
      </c>
      <c r="AC362">
        <v>180.7</v>
      </c>
      <c r="AD362">
        <v>177.9</v>
      </c>
      <c r="AE362">
        <v>178</v>
      </c>
    </row>
    <row r="363" spans="1:31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W363">
        <v>182.8</v>
      </c>
      <c r="X363">
        <v>169.2</v>
      </c>
      <c r="Y363">
        <v>180.8</v>
      </c>
      <c r="Z363">
        <v>159.80000000000001</v>
      </c>
      <c r="AA363">
        <v>168.4</v>
      </c>
      <c r="AB363">
        <v>172.5</v>
      </c>
      <c r="AC363">
        <v>181.4</v>
      </c>
      <c r="AD363">
        <v>170</v>
      </c>
      <c r="AE363">
        <v>176.3</v>
      </c>
    </row>
    <row r="364" spans="1:31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W364">
        <v>182.1</v>
      </c>
      <c r="X364">
        <v>174.2</v>
      </c>
      <c r="Y364">
        <v>184.4</v>
      </c>
      <c r="Z364">
        <v>164.2</v>
      </c>
      <c r="AA364">
        <v>170.3</v>
      </c>
      <c r="AB364">
        <v>175</v>
      </c>
      <c r="AC364">
        <v>181</v>
      </c>
      <c r="AD364">
        <v>174.1</v>
      </c>
      <c r="AE364">
        <v>177.2</v>
      </c>
    </row>
    <row r="365" spans="1:31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W365">
        <v>181.4</v>
      </c>
      <c r="X365">
        <v>178.6</v>
      </c>
      <c r="Y365">
        <v>186.6</v>
      </c>
      <c r="Z365">
        <v>169</v>
      </c>
      <c r="AA365">
        <v>172.8</v>
      </c>
      <c r="AB365">
        <v>178.5</v>
      </c>
      <c r="AC365">
        <v>180.7</v>
      </c>
      <c r="AD365">
        <v>177.9</v>
      </c>
      <c r="AE365">
        <v>178</v>
      </c>
    </row>
    <row r="366" spans="1:31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W366">
        <v>182.6</v>
      </c>
      <c r="X366">
        <v>169.2</v>
      </c>
      <c r="Y366">
        <v>180.8</v>
      </c>
      <c r="Z366">
        <v>159.80000000000001</v>
      </c>
      <c r="AA366">
        <v>168.4</v>
      </c>
      <c r="AB366">
        <v>172.5</v>
      </c>
      <c r="AC366">
        <v>181.5</v>
      </c>
      <c r="AD366">
        <v>170</v>
      </c>
      <c r="AE366">
        <v>176.3</v>
      </c>
    </row>
    <row r="367" spans="1:31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W367">
        <v>181.9</v>
      </c>
      <c r="X367">
        <v>174.2</v>
      </c>
      <c r="Y367">
        <v>184.4</v>
      </c>
      <c r="Z367">
        <v>164.2</v>
      </c>
      <c r="AA367">
        <v>170.3</v>
      </c>
      <c r="AB367">
        <v>175</v>
      </c>
      <c r="AC367">
        <v>181</v>
      </c>
      <c r="AD367">
        <v>174.1</v>
      </c>
      <c r="AE367">
        <v>177.2</v>
      </c>
    </row>
    <row r="368" spans="1:31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W368">
        <v>181.5</v>
      </c>
      <c r="X368">
        <v>179.1</v>
      </c>
      <c r="Y368">
        <v>187.2</v>
      </c>
      <c r="Z368">
        <v>169.4</v>
      </c>
      <c r="AA368">
        <v>173.2</v>
      </c>
      <c r="AB368">
        <v>179.4</v>
      </c>
      <c r="AC368">
        <v>183.8</v>
      </c>
      <c r="AD368">
        <v>178.9</v>
      </c>
      <c r="AE368">
        <v>178.8</v>
      </c>
    </row>
    <row r="369" spans="1:31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W369">
        <v>182.1</v>
      </c>
      <c r="X369">
        <v>169.6</v>
      </c>
      <c r="Y369">
        <v>181.5</v>
      </c>
      <c r="Z369">
        <v>160.1</v>
      </c>
      <c r="AA369">
        <v>168.8</v>
      </c>
      <c r="AB369">
        <v>174.2</v>
      </c>
      <c r="AC369">
        <v>184.4</v>
      </c>
      <c r="AD369">
        <v>170.9</v>
      </c>
      <c r="AE369">
        <v>177.4</v>
      </c>
    </row>
    <row r="370" spans="1:31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W370">
        <v>181.7</v>
      </c>
      <c r="X370">
        <v>174.6</v>
      </c>
      <c r="Y370">
        <v>185</v>
      </c>
      <c r="Z370">
        <v>164.5</v>
      </c>
      <c r="AA370">
        <v>170.7</v>
      </c>
      <c r="AB370">
        <v>176.4</v>
      </c>
      <c r="AC370">
        <v>184</v>
      </c>
      <c r="AD370">
        <v>175</v>
      </c>
      <c r="AE370">
        <v>178.1</v>
      </c>
    </row>
    <row r="371" spans="1:31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W371">
        <v>182.5</v>
      </c>
      <c r="X371">
        <v>179.8</v>
      </c>
      <c r="Y371">
        <v>187.8</v>
      </c>
      <c r="Z371">
        <v>169.7</v>
      </c>
      <c r="AA371">
        <v>173.8</v>
      </c>
      <c r="AB371">
        <v>180.3</v>
      </c>
      <c r="AC371">
        <v>184.9</v>
      </c>
      <c r="AD371">
        <v>179.5</v>
      </c>
      <c r="AE371">
        <v>179.8</v>
      </c>
    </row>
    <row r="372" spans="1:31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W372">
        <v>183.4</v>
      </c>
      <c r="X372">
        <v>170.1</v>
      </c>
      <c r="Y372">
        <v>182.2</v>
      </c>
      <c r="Z372">
        <v>160.4</v>
      </c>
      <c r="AA372">
        <v>169.2</v>
      </c>
      <c r="AB372">
        <v>174.8</v>
      </c>
      <c r="AC372">
        <v>185.6</v>
      </c>
      <c r="AD372">
        <v>171.6</v>
      </c>
      <c r="AE372">
        <v>178.2</v>
      </c>
    </row>
    <row r="373" spans="1:31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W373">
        <v>182.8</v>
      </c>
      <c r="X373">
        <v>175.2</v>
      </c>
      <c r="Y373">
        <v>185.7</v>
      </c>
      <c r="Z373">
        <v>164.8</v>
      </c>
      <c r="AA373">
        <v>171.2</v>
      </c>
      <c r="AB373">
        <v>177.1</v>
      </c>
      <c r="AC373">
        <v>185.2</v>
      </c>
      <c r="AD373">
        <v>175.7</v>
      </c>
      <c r="AE373">
        <v>179.1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9FC3-15D8-4BC9-AA61-FCAD8097F3BB}">
  <dimension ref="A1:AJ373"/>
  <sheetViews>
    <sheetView workbookViewId="0">
      <selection activeCell="B7" sqref="B7"/>
    </sheetView>
  </sheetViews>
  <sheetFormatPr defaultRowHeight="14.4"/>
  <cols>
    <col min="1" max="1" width="11.21875" bestFit="1" customWidth="1"/>
    <col min="2" max="2" width="8.88671875" customWidth="1"/>
    <col min="3" max="3" width="10" bestFit="1" customWidth="1"/>
    <col min="4" max="4" width="18.21875" bestFit="1" customWidth="1"/>
    <col min="5" max="5" width="12.109375" bestFit="1" customWidth="1"/>
    <col min="6" max="6" width="14.6640625" customWidth="1"/>
    <col min="7" max="7" width="15.5546875" bestFit="1" customWidth="1"/>
    <col min="8" max="8" width="13.21875" customWidth="1"/>
    <col min="9" max="9" width="11.33203125" customWidth="1"/>
    <col min="10" max="10" width="9.88671875" bestFit="1" customWidth="1"/>
    <col min="11" max="11" width="17.21875" bestFit="1" customWidth="1"/>
    <col min="12" max="12" width="21.109375" bestFit="1" customWidth="1"/>
    <col min="13" max="13" width="10.6640625" customWidth="1"/>
    <col min="14" max="14" width="21.44140625" bestFit="1" customWidth="1"/>
    <col min="15" max="15" width="30.44140625" bestFit="1" customWidth="1"/>
    <col min="16" max="16" width="17.44140625" bestFit="1" customWidth="1"/>
    <col min="17" max="17" width="24.6640625" bestFit="1" customWidth="1"/>
    <col min="18" max="18" width="24.6640625" customWidth="1"/>
    <col min="19" max="19" width="10" customWidth="1"/>
    <col min="20" max="20" width="12.77734375" customWidth="1"/>
    <col min="21" max="21" width="19.44140625" bestFit="1" customWidth="1"/>
    <col min="22" max="22" width="19.44140625" customWidth="1"/>
    <col min="23" max="23" width="12" customWidth="1"/>
    <col min="24" max="24" width="11.6640625" bestFit="1" customWidth="1"/>
    <col min="25" max="25" width="25.77734375" bestFit="1" customWidth="1"/>
    <col min="26" max="27" width="14.5546875" customWidth="1"/>
    <col min="28" max="28" width="21.88671875" bestFit="1" customWidth="1"/>
    <col min="29" max="29" width="21.88671875" customWidth="1"/>
    <col min="30" max="30" width="25.88671875" bestFit="1" customWidth="1"/>
    <col min="31" max="31" width="23.6640625" bestFit="1" customWidth="1"/>
    <col min="32" max="32" width="23.6640625" customWidth="1"/>
    <col min="33" max="33" width="11.5546875" customWidth="1"/>
    <col min="34" max="34" width="12.5546875" bestFit="1" customWidth="1"/>
    <col min="35" max="35" width="12.109375" bestFit="1" customWidth="1"/>
    <col min="36" max="36" width="12.10937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169</v>
      </c>
      <c r="O1" t="s">
        <v>168</v>
      </c>
      <c r="P1" t="s">
        <v>15</v>
      </c>
      <c r="Q1" t="s">
        <v>16</v>
      </c>
      <c r="R1" s="1" t="s">
        <v>166</v>
      </c>
      <c r="S1" t="s">
        <v>17</v>
      </c>
      <c r="T1" t="s">
        <v>18</v>
      </c>
      <c r="U1" t="s">
        <v>19</v>
      </c>
      <c r="V1" s="1" t="s">
        <v>167</v>
      </c>
      <c r="W1" t="s">
        <v>20</v>
      </c>
      <c r="X1" t="s">
        <v>21</v>
      </c>
      <c r="Y1" t="s">
        <v>22</v>
      </c>
      <c r="Z1" s="1" t="s">
        <v>171</v>
      </c>
      <c r="AA1" t="s">
        <v>23</v>
      </c>
      <c r="AB1" t="s">
        <v>27</v>
      </c>
      <c r="AC1" s="1" t="s">
        <v>172</v>
      </c>
      <c r="AD1" t="s">
        <v>24</v>
      </c>
      <c r="AE1" t="s">
        <v>25</v>
      </c>
      <c r="AF1" s="1" t="s">
        <v>173</v>
      </c>
      <c r="AG1" t="s">
        <v>26</v>
      </c>
      <c r="AH1" t="s">
        <v>28</v>
      </c>
      <c r="AI1" t="s">
        <v>29</v>
      </c>
      <c r="AJ1" s="1" t="s">
        <v>170</v>
      </c>
    </row>
    <row r="2" spans="1:36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f>AVERAGE(D2:Q2)</f>
        <v>105.48571428571427</v>
      </c>
      <c r="S2">
        <v>106.5</v>
      </c>
      <c r="T2">
        <v>105.8</v>
      </c>
      <c r="U2">
        <v>106.4</v>
      </c>
      <c r="V2">
        <f t="shared" ref="V2:V65" si="0">AVERAGE(S2:U2)</f>
        <v>106.23333333333335</v>
      </c>
      <c r="W2">
        <v>139.2560976</v>
      </c>
      <c r="X2">
        <v>105.5</v>
      </c>
      <c r="Y2">
        <v>104.8</v>
      </c>
      <c r="Z2">
        <f t="shared" ref="Z2:Z65" si="1">AVERAGE(W2:Y2)</f>
        <v>116.5186992</v>
      </c>
      <c r="AA2">
        <v>104</v>
      </c>
      <c r="AB2">
        <v>104.7</v>
      </c>
      <c r="AC2">
        <f>AVERAGE(AA2:AB2)</f>
        <v>104.35</v>
      </c>
      <c r="AD2">
        <v>103.3</v>
      </c>
      <c r="AE2">
        <v>103.4</v>
      </c>
      <c r="AF2">
        <f>AVERAGE(AD2:AE2)</f>
        <v>103.35</v>
      </c>
      <c r="AG2">
        <v>103.8</v>
      </c>
      <c r="AH2">
        <v>104</v>
      </c>
      <c r="AI2">
        <v>105.1</v>
      </c>
      <c r="AJ2">
        <f>AVERAGE(AG2:AI2)</f>
        <v>104.3</v>
      </c>
    </row>
    <row r="3" spans="1:36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f t="shared" ref="R3:R66" si="2">AVERAGE(D3:Q3)</f>
        <v>105.82857142857144</v>
      </c>
      <c r="S3">
        <v>105.9</v>
      </c>
      <c r="T3">
        <v>105</v>
      </c>
      <c r="U3">
        <v>105.8</v>
      </c>
      <c r="V3">
        <f t="shared" si="0"/>
        <v>105.56666666666666</v>
      </c>
      <c r="W3">
        <v>100.3</v>
      </c>
      <c r="X3">
        <v>105.4</v>
      </c>
      <c r="Y3">
        <v>104.8</v>
      </c>
      <c r="Z3">
        <f t="shared" si="1"/>
        <v>103.5</v>
      </c>
      <c r="AA3">
        <v>104.1</v>
      </c>
      <c r="AB3">
        <v>104.3</v>
      </c>
      <c r="AC3">
        <f t="shared" ref="AC3:AC66" si="3">AVERAGE(AA3:AB3)</f>
        <v>104.19999999999999</v>
      </c>
      <c r="AD3">
        <v>103.2</v>
      </c>
      <c r="AE3">
        <v>102.9</v>
      </c>
      <c r="AF3">
        <f t="shared" ref="AF3:AF66" si="4">AVERAGE(AD3:AE3)</f>
        <v>103.05000000000001</v>
      </c>
      <c r="AG3">
        <v>103.5</v>
      </c>
      <c r="AH3">
        <v>103.7</v>
      </c>
      <c r="AI3">
        <v>104</v>
      </c>
      <c r="AJ3">
        <f t="shared" ref="AJ3:AJ66" si="5">AVERAGE(AG3:AI3)</f>
        <v>103.73333333333333</v>
      </c>
    </row>
    <row r="4" spans="1:36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f t="shared" si="2"/>
        <v>105.60000000000001</v>
      </c>
      <c r="S4">
        <v>106.3</v>
      </c>
      <c r="T4">
        <v>105.5</v>
      </c>
      <c r="U4">
        <v>106.2</v>
      </c>
      <c r="V4">
        <f t="shared" si="0"/>
        <v>106</v>
      </c>
      <c r="W4">
        <v>100.3</v>
      </c>
      <c r="X4">
        <v>105.5</v>
      </c>
      <c r="Y4">
        <v>104.8</v>
      </c>
      <c r="Z4">
        <f t="shared" si="1"/>
        <v>103.53333333333335</v>
      </c>
      <c r="AA4">
        <v>104</v>
      </c>
      <c r="AB4">
        <v>104.5</v>
      </c>
      <c r="AC4">
        <f t="shared" si="3"/>
        <v>104.25</v>
      </c>
      <c r="AD4">
        <v>103.2</v>
      </c>
      <c r="AE4">
        <v>103.1</v>
      </c>
      <c r="AF4">
        <f t="shared" si="4"/>
        <v>103.15</v>
      </c>
      <c r="AG4">
        <v>103.6</v>
      </c>
      <c r="AH4">
        <v>103.9</v>
      </c>
      <c r="AI4">
        <v>104.6</v>
      </c>
      <c r="AJ4">
        <f t="shared" si="5"/>
        <v>104.03333333333335</v>
      </c>
    </row>
    <row r="5" spans="1:36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f t="shared" si="2"/>
        <v>106.14285714285712</v>
      </c>
      <c r="S5">
        <v>107.1</v>
      </c>
      <c r="T5">
        <v>106.3</v>
      </c>
      <c r="U5">
        <v>107</v>
      </c>
      <c r="V5">
        <f t="shared" si="0"/>
        <v>106.8</v>
      </c>
      <c r="W5">
        <v>100.4</v>
      </c>
      <c r="X5">
        <v>106.2</v>
      </c>
      <c r="Y5">
        <v>105.2</v>
      </c>
      <c r="Z5">
        <f t="shared" si="1"/>
        <v>103.93333333333334</v>
      </c>
      <c r="AA5">
        <v>104.4</v>
      </c>
      <c r="AB5">
        <v>104.6</v>
      </c>
      <c r="AC5">
        <f t="shared" si="3"/>
        <v>104.5</v>
      </c>
      <c r="AD5">
        <v>103.9</v>
      </c>
      <c r="AE5">
        <v>104</v>
      </c>
      <c r="AF5">
        <f t="shared" si="4"/>
        <v>103.95</v>
      </c>
      <c r="AG5">
        <v>104.1</v>
      </c>
      <c r="AH5">
        <v>104.4</v>
      </c>
      <c r="AI5">
        <v>105.8</v>
      </c>
      <c r="AJ5">
        <f t="shared" si="5"/>
        <v>104.76666666666667</v>
      </c>
    </row>
    <row r="6" spans="1:36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f t="shared" si="2"/>
        <v>106.9</v>
      </c>
      <c r="S6">
        <v>106.6</v>
      </c>
      <c r="T6">
        <v>105.5</v>
      </c>
      <c r="U6">
        <v>106.4</v>
      </c>
      <c r="V6">
        <f t="shared" si="0"/>
        <v>106.16666666666667</v>
      </c>
      <c r="W6">
        <v>100.4</v>
      </c>
      <c r="X6">
        <v>105.7</v>
      </c>
      <c r="Y6">
        <v>105.2</v>
      </c>
      <c r="Z6">
        <f t="shared" si="1"/>
        <v>103.76666666666667</v>
      </c>
      <c r="AA6">
        <v>104.7</v>
      </c>
      <c r="AB6">
        <v>104.3</v>
      </c>
      <c r="AC6">
        <f t="shared" si="3"/>
        <v>104.5</v>
      </c>
      <c r="AD6">
        <v>104.4</v>
      </c>
      <c r="AE6">
        <v>103.3</v>
      </c>
      <c r="AF6">
        <f t="shared" si="4"/>
        <v>103.85</v>
      </c>
      <c r="AG6">
        <v>103.7</v>
      </c>
      <c r="AH6">
        <v>104.3</v>
      </c>
      <c r="AI6">
        <v>104.7</v>
      </c>
      <c r="AJ6">
        <f t="shared" si="5"/>
        <v>104.23333333333333</v>
      </c>
    </row>
    <row r="7" spans="1:36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f t="shared" si="2"/>
        <v>106.42142857142858</v>
      </c>
      <c r="S7">
        <v>106.9</v>
      </c>
      <c r="T7">
        <v>106</v>
      </c>
      <c r="U7">
        <v>106.8</v>
      </c>
      <c r="V7">
        <f t="shared" si="0"/>
        <v>106.56666666666666</v>
      </c>
      <c r="W7">
        <v>100.4</v>
      </c>
      <c r="X7">
        <v>106</v>
      </c>
      <c r="Y7">
        <v>105.2</v>
      </c>
      <c r="Z7">
        <f t="shared" si="1"/>
        <v>103.86666666666667</v>
      </c>
      <c r="AA7">
        <v>104.5</v>
      </c>
      <c r="AB7">
        <v>104.5</v>
      </c>
      <c r="AC7">
        <f t="shared" si="3"/>
        <v>104.5</v>
      </c>
      <c r="AD7">
        <v>104.2</v>
      </c>
      <c r="AE7">
        <v>103.6</v>
      </c>
      <c r="AF7">
        <f t="shared" si="4"/>
        <v>103.9</v>
      </c>
      <c r="AG7">
        <v>103.9</v>
      </c>
      <c r="AH7">
        <v>104.4</v>
      </c>
      <c r="AI7">
        <v>105.3</v>
      </c>
      <c r="AJ7">
        <f t="shared" si="5"/>
        <v>104.53333333333335</v>
      </c>
    </row>
    <row r="8" spans="1:36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f t="shared" si="2"/>
        <v>106.33571428571429</v>
      </c>
      <c r="S8">
        <v>107.6</v>
      </c>
      <c r="T8">
        <v>106.8</v>
      </c>
      <c r="U8">
        <v>107.5</v>
      </c>
      <c r="V8">
        <f t="shared" si="0"/>
        <v>107.3</v>
      </c>
      <c r="W8">
        <v>100.4</v>
      </c>
      <c r="X8">
        <v>106.1</v>
      </c>
      <c r="Y8">
        <v>105.6</v>
      </c>
      <c r="Z8">
        <f t="shared" si="1"/>
        <v>104.03333333333335</v>
      </c>
      <c r="AA8">
        <v>104.7</v>
      </c>
      <c r="AB8">
        <v>104.3</v>
      </c>
      <c r="AC8">
        <f t="shared" si="3"/>
        <v>104.5</v>
      </c>
      <c r="AD8">
        <v>104.6</v>
      </c>
      <c r="AE8">
        <v>104</v>
      </c>
      <c r="AF8">
        <f t="shared" si="4"/>
        <v>104.3</v>
      </c>
      <c r="AG8">
        <v>104.3</v>
      </c>
      <c r="AH8">
        <v>104.6</v>
      </c>
      <c r="AI8">
        <v>106</v>
      </c>
      <c r="AJ8">
        <f t="shared" si="5"/>
        <v>104.96666666666665</v>
      </c>
    </row>
    <row r="9" spans="1:36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f t="shared" si="2"/>
        <v>106.68571428571428</v>
      </c>
      <c r="S9">
        <v>107.2</v>
      </c>
      <c r="T9">
        <v>106</v>
      </c>
      <c r="U9">
        <v>107</v>
      </c>
      <c r="V9">
        <f t="shared" si="0"/>
        <v>106.73333333333333</v>
      </c>
      <c r="W9">
        <v>100.5</v>
      </c>
      <c r="X9">
        <v>106</v>
      </c>
      <c r="Y9">
        <v>105.7</v>
      </c>
      <c r="Z9">
        <f t="shared" si="1"/>
        <v>104.06666666666666</v>
      </c>
      <c r="AA9">
        <v>105.2</v>
      </c>
      <c r="AB9">
        <v>104.2</v>
      </c>
      <c r="AC9">
        <f t="shared" si="3"/>
        <v>104.7</v>
      </c>
      <c r="AD9">
        <v>105.5</v>
      </c>
      <c r="AE9">
        <v>103.5</v>
      </c>
      <c r="AF9">
        <f t="shared" si="4"/>
        <v>104.5</v>
      </c>
      <c r="AG9">
        <v>103.8</v>
      </c>
      <c r="AH9">
        <v>104.9</v>
      </c>
      <c r="AI9">
        <v>105</v>
      </c>
      <c r="AJ9">
        <f t="shared" si="5"/>
        <v>104.56666666666666</v>
      </c>
    </row>
    <row r="10" spans="1:36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f t="shared" si="2"/>
        <v>106.47142857142858</v>
      </c>
      <c r="S10">
        <v>107.4</v>
      </c>
      <c r="T10">
        <v>106.5</v>
      </c>
      <c r="U10">
        <v>107.3</v>
      </c>
      <c r="V10">
        <f t="shared" si="0"/>
        <v>107.06666666666666</v>
      </c>
      <c r="W10">
        <v>100.5</v>
      </c>
      <c r="X10">
        <v>106.1</v>
      </c>
      <c r="Y10">
        <v>105.6</v>
      </c>
      <c r="Z10">
        <f t="shared" si="1"/>
        <v>104.06666666666666</v>
      </c>
      <c r="AA10">
        <v>104.9</v>
      </c>
      <c r="AB10">
        <v>104.3</v>
      </c>
      <c r="AC10">
        <f t="shared" si="3"/>
        <v>104.6</v>
      </c>
      <c r="AD10">
        <v>105.1</v>
      </c>
      <c r="AE10">
        <v>103.7</v>
      </c>
      <c r="AF10">
        <f t="shared" si="4"/>
        <v>104.4</v>
      </c>
      <c r="AG10">
        <v>104</v>
      </c>
      <c r="AH10">
        <v>104.7</v>
      </c>
      <c r="AI10">
        <v>105.5</v>
      </c>
      <c r="AJ10">
        <f t="shared" si="5"/>
        <v>104.73333333333333</v>
      </c>
    </row>
    <row r="11" spans="1:36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f t="shared" si="2"/>
        <v>106.63571428571427</v>
      </c>
      <c r="S11">
        <v>108.1</v>
      </c>
      <c r="T11">
        <v>107.4</v>
      </c>
      <c r="U11">
        <v>108</v>
      </c>
      <c r="V11">
        <f t="shared" si="0"/>
        <v>107.83333333333333</v>
      </c>
      <c r="W11">
        <v>100.5</v>
      </c>
      <c r="X11">
        <v>106.5</v>
      </c>
      <c r="Y11">
        <v>106.1</v>
      </c>
      <c r="Z11">
        <f t="shared" si="1"/>
        <v>104.36666666666667</v>
      </c>
      <c r="AA11">
        <v>105.1</v>
      </c>
      <c r="AB11">
        <v>102.7</v>
      </c>
      <c r="AC11">
        <f t="shared" si="3"/>
        <v>103.9</v>
      </c>
      <c r="AD11">
        <v>104.4</v>
      </c>
      <c r="AE11">
        <v>104.5</v>
      </c>
      <c r="AF11">
        <f t="shared" si="4"/>
        <v>104.45</v>
      </c>
      <c r="AG11">
        <v>104.8</v>
      </c>
      <c r="AH11">
        <v>104.6</v>
      </c>
      <c r="AI11">
        <v>106.4</v>
      </c>
      <c r="AJ11">
        <f t="shared" si="5"/>
        <v>105.26666666666665</v>
      </c>
    </row>
    <row r="12" spans="1:36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f t="shared" si="2"/>
        <v>107.58571428571427</v>
      </c>
      <c r="S12">
        <v>107.9</v>
      </c>
      <c r="T12">
        <v>106.4</v>
      </c>
      <c r="U12">
        <v>107.7</v>
      </c>
      <c r="V12">
        <f t="shared" si="0"/>
        <v>107.33333333333333</v>
      </c>
      <c r="W12">
        <v>100.5</v>
      </c>
      <c r="X12">
        <v>106.4</v>
      </c>
      <c r="Y12">
        <v>106.5</v>
      </c>
      <c r="Z12">
        <f t="shared" si="1"/>
        <v>104.46666666666665</v>
      </c>
      <c r="AA12">
        <v>105.7</v>
      </c>
      <c r="AB12">
        <v>103.2</v>
      </c>
      <c r="AC12">
        <f t="shared" si="3"/>
        <v>104.45</v>
      </c>
      <c r="AD12">
        <v>105</v>
      </c>
      <c r="AE12">
        <v>104</v>
      </c>
      <c r="AF12">
        <f t="shared" si="4"/>
        <v>104.5</v>
      </c>
      <c r="AG12">
        <v>105.2</v>
      </c>
      <c r="AH12">
        <v>105.1</v>
      </c>
      <c r="AI12">
        <v>105.7</v>
      </c>
      <c r="AJ12">
        <f t="shared" si="5"/>
        <v>105.33333333333333</v>
      </c>
    </row>
    <row r="13" spans="1:36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f t="shared" si="2"/>
        <v>106.97857142857143</v>
      </c>
      <c r="S13">
        <v>108</v>
      </c>
      <c r="T13">
        <v>107</v>
      </c>
      <c r="U13">
        <v>107.9</v>
      </c>
      <c r="V13">
        <f t="shared" si="0"/>
        <v>107.63333333333333</v>
      </c>
      <c r="W13">
        <v>106.6</v>
      </c>
      <c r="X13">
        <v>106.5</v>
      </c>
      <c r="Y13">
        <v>106.3</v>
      </c>
      <c r="Z13">
        <f t="shared" si="1"/>
        <v>106.46666666666665</v>
      </c>
      <c r="AA13">
        <v>105.3</v>
      </c>
      <c r="AB13">
        <v>102.9</v>
      </c>
      <c r="AC13">
        <f t="shared" si="3"/>
        <v>104.1</v>
      </c>
      <c r="AD13">
        <v>104.7</v>
      </c>
      <c r="AE13">
        <v>104.2</v>
      </c>
      <c r="AF13">
        <f t="shared" si="4"/>
        <v>104.45</v>
      </c>
      <c r="AG13">
        <v>105</v>
      </c>
      <c r="AH13">
        <v>104.8</v>
      </c>
      <c r="AI13">
        <v>106.1</v>
      </c>
      <c r="AJ13">
        <f t="shared" si="5"/>
        <v>105.3</v>
      </c>
    </row>
    <row r="14" spans="1:36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f t="shared" si="2"/>
        <v>107.29285714285713</v>
      </c>
      <c r="S14">
        <v>108.8</v>
      </c>
      <c r="T14">
        <v>107.9</v>
      </c>
      <c r="U14">
        <v>108.6</v>
      </c>
      <c r="V14">
        <f t="shared" si="0"/>
        <v>108.43333333333332</v>
      </c>
      <c r="W14">
        <v>106.6</v>
      </c>
      <c r="X14">
        <v>107.5</v>
      </c>
      <c r="Y14">
        <v>106.8</v>
      </c>
      <c r="Z14">
        <f t="shared" si="1"/>
        <v>106.96666666666665</v>
      </c>
      <c r="AA14">
        <v>105.7</v>
      </c>
      <c r="AB14">
        <v>102.1</v>
      </c>
      <c r="AC14">
        <f t="shared" si="3"/>
        <v>103.9</v>
      </c>
      <c r="AD14">
        <v>104.1</v>
      </c>
      <c r="AE14">
        <v>105</v>
      </c>
      <c r="AF14">
        <f t="shared" si="4"/>
        <v>104.55</v>
      </c>
      <c r="AG14">
        <v>105.5</v>
      </c>
      <c r="AH14">
        <v>104.8</v>
      </c>
      <c r="AI14">
        <v>107.2</v>
      </c>
      <c r="AJ14">
        <f t="shared" si="5"/>
        <v>105.83333333333333</v>
      </c>
    </row>
    <row r="15" spans="1:36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f t="shared" si="2"/>
        <v>109.07142857142856</v>
      </c>
      <c r="S15">
        <v>108.5</v>
      </c>
      <c r="T15">
        <v>106.7</v>
      </c>
      <c r="U15">
        <v>108.3</v>
      </c>
      <c r="V15">
        <f t="shared" si="0"/>
        <v>107.83333333333333</v>
      </c>
      <c r="W15">
        <v>107.7</v>
      </c>
      <c r="X15">
        <v>107.2</v>
      </c>
      <c r="Y15">
        <v>107.1</v>
      </c>
      <c r="Z15">
        <f t="shared" si="1"/>
        <v>107.33333333333333</v>
      </c>
      <c r="AA15">
        <v>106.2</v>
      </c>
      <c r="AB15">
        <v>102.6</v>
      </c>
      <c r="AC15">
        <f t="shared" si="3"/>
        <v>104.4</v>
      </c>
      <c r="AD15">
        <v>103.9</v>
      </c>
      <c r="AE15">
        <v>104.6</v>
      </c>
      <c r="AF15">
        <f t="shared" si="4"/>
        <v>104.25</v>
      </c>
      <c r="AG15">
        <v>105.7</v>
      </c>
      <c r="AH15">
        <v>104.9</v>
      </c>
      <c r="AI15">
        <v>106.6</v>
      </c>
      <c r="AJ15">
        <f t="shared" si="5"/>
        <v>105.73333333333335</v>
      </c>
    </row>
    <row r="16" spans="1:36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f t="shared" si="2"/>
        <v>107.9142857142857</v>
      </c>
      <c r="S16">
        <v>108.7</v>
      </c>
      <c r="T16">
        <v>107.4</v>
      </c>
      <c r="U16">
        <v>108.5</v>
      </c>
      <c r="V16">
        <f t="shared" si="0"/>
        <v>108.2</v>
      </c>
      <c r="W16">
        <v>107.7</v>
      </c>
      <c r="X16">
        <v>107.4</v>
      </c>
      <c r="Y16">
        <v>106.9</v>
      </c>
      <c r="Z16">
        <f t="shared" si="1"/>
        <v>107.33333333333333</v>
      </c>
      <c r="AA16">
        <v>105.9</v>
      </c>
      <c r="AB16">
        <v>102.3</v>
      </c>
      <c r="AC16">
        <f t="shared" si="3"/>
        <v>104.1</v>
      </c>
      <c r="AD16">
        <v>104</v>
      </c>
      <c r="AE16">
        <v>104.8</v>
      </c>
      <c r="AF16">
        <f t="shared" si="4"/>
        <v>104.4</v>
      </c>
      <c r="AG16">
        <v>105.6</v>
      </c>
      <c r="AH16">
        <v>104.8</v>
      </c>
      <c r="AI16">
        <v>106.9</v>
      </c>
      <c r="AJ16">
        <f t="shared" si="5"/>
        <v>105.76666666666665</v>
      </c>
    </row>
    <row r="17" spans="1:36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f t="shared" si="2"/>
        <v>109.21428571428571</v>
      </c>
      <c r="S17">
        <v>109.7</v>
      </c>
      <c r="T17">
        <v>108.8</v>
      </c>
      <c r="U17">
        <v>109.5</v>
      </c>
      <c r="V17">
        <f t="shared" si="0"/>
        <v>109.33333333333333</v>
      </c>
      <c r="W17">
        <v>108.9</v>
      </c>
      <c r="X17">
        <v>108.5</v>
      </c>
      <c r="Y17">
        <v>107.5</v>
      </c>
      <c r="Z17">
        <f t="shared" si="1"/>
        <v>108.3</v>
      </c>
      <c r="AA17">
        <v>106.3</v>
      </c>
      <c r="AB17">
        <v>102.5</v>
      </c>
      <c r="AC17">
        <f t="shared" si="3"/>
        <v>104.4</v>
      </c>
      <c r="AD17">
        <v>105</v>
      </c>
      <c r="AE17">
        <v>105.6</v>
      </c>
      <c r="AF17">
        <f t="shared" si="4"/>
        <v>105.3</v>
      </c>
      <c r="AG17">
        <v>106.5</v>
      </c>
      <c r="AH17">
        <v>105.5</v>
      </c>
      <c r="AI17">
        <v>108.9</v>
      </c>
      <c r="AJ17">
        <f t="shared" si="5"/>
        <v>106.96666666666665</v>
      </c>
    </row>
    <row r="18" spans="1:36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f t="shared" si="2"/>
        <v>112.53571428571431</v>
      </c>
      <c r="S18">
        <v>109.2</v>
      </c>
      <c r="T18">
        <v>107.2</v>
      </c>
      <c r="U18">
        <v>108.9</v>
      </c>
      <c r="V18">
        <f t="shared" si="0"/>
        <v>108.43333333333334</v>
      </c>
      <c r="W18">
        <v>108.9</v>
      </c>
      <c r="X18">
        <v>108</v>
      </c>
      <c r="Y18">
        <v>107.7</v>
      </c>
      <c r="Z18">
        <f t="shared" si="1"/>
        <v>108.2</v>
      </c>
      <c r="AA18">
        <v>106.5</v>
      </c>
      <c r="AB18">
        <v>103.3</v>
      </c>
      <c r="AC18">
        <f t="shared" si="3"/>
        <v>104.9</v>
      </c>
      <c r="AD18">
        <v>105.2</v>
      </c>
      <c r="AE18">
        <v>105.2</v>
      </c>
      <c r="AF18">
        <f t="shared" si="4"/>
        <v>105.2</v>
      </c>
      <c r="AG18">
        <v>108.1</v>
      </c>
      <c r="AH18">
        <v>106.1</v>
      </c>
      <c r="AI18">
        <v>109.7</v>
      </c>
      <c r="AJ18">
        <f t="shared" si="5"/>
        <v>107.96666666666665</v>
      </c>
    </row>
    <row r="19" spans="1:36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f t="shared" si="2"/>
        <v>110.39285714285714</v>
      </c>
      <c r="S19">
        <v>109.5</v>
      </c>
      <c r="T19">
        <v>108.1</v>
      </c>
      <c r="U19">
        <v>109.3</v>
      </c>
      <c r="V19">
        <f t="shared" si="0"/>
        <v>108.96666666666665</v>
      </c>
      <c r="W19">
        <v>109.7</v>
      </c>
      <c r="X19">
        <v>108.3</v>
      </c>
      <c r="Y19">
        <v>107.6</v>
      </c>
      <c r="Z19">
        <f t="shared" si="1"/>
        <v>108.53333333333335</v>
      </c>
      <c r="AA19">
        <v>106.4</v>
      </c>
      <c r="AB19">
        <v>102.8</v>
      </c>
      <c r="AC19">
        <f t="shared" si="3"/>
        <v>104.6</v>
      </c>
      <c r="AD19">
        <v>105.1</v>
      </c>
      <c r="AE19">
        <v>105.4</v>
      </c>
      <c r="AF19">
        <f t="shared" si="4"/>
        <v>105.25</v>
      </c>
      <c r="AG19">
        <v>107.4</v>
      </c>
      <c r="AH19">
        <v>105.8</v>
      </c>
      <c r="AI19">
        <v>109.3</v>
      </c>
      <c r="AJ19">
        <f t="shared" si="5"/>
        <v>107.5</v>
      </c>
    </row>
    <row r="20" spans="1:36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f t="shared" si="2"/>
        <v>111.12142857142854</v>
      </c>
      <c r="S20">
        <v>110.5</v>
      </c>
      <c r="T20">
        <v>109.5</v>
      </c>
      <c r="U20">
        <v>110.3</v>
      </c>
      <c r="V20">
        <f t="shared" si="0"/>
        <v>110.10000000000001</v>
      </c>
      <c r="W20">
        <v>109.7</v>
      </c>
      <c r="X20">
        <v>109.5</v>
      </c>
      <c r="Y20">
        <v>108.3</v>
      </c>
      <c r="Z20">
        <f t="shared" si="1"/>
        <v>109.16666666666667</v>
      </c>
      <c r="AA20">
        <v>106.9</v>
      </c>
      <c r="AB20">
        <v>102.5</v>
      </c>
      <c r="AC20">
        <f t="shared" si="3"/>
        <v>104.7</v>
      </c>
      <c r="AD20">
        <v>106.8</v>
      </c>
      <c r="AE20">
        <v>106.4</v>
      </c>
      <c r="AF20">
        <f t="shared" si="4"/>
        <v>106.6</v>
      </c>
      <c r="AG20">
        <v>107.8</v>
      </c>
      <c r="AH20">
        <v>106.5</v>
      </c>
      <c r="AI20">
        <v>110.7</v>
      </c>
      <c r="AJ20">
        <f t="shared" si="5"/>
        <v>108.33333333333333</v>
      </c>
    </row>
    <row r="21" spans="1:36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f t="shared" si="2"/>
        <v>114.36428571428573</v>
      </c>
      <c r="S21">
        <v>109.8</v>
      </c>
      <c r="T21">
        <v>107.8</v>
      </c>
      <c r="U21">
        <v>109.5</v>
      </c>
      <c r="V21">
        <f t="shared" si="0"/>
        <v>109.03333333333335</v>
      </c>
      <c r="W21">
        <v>110.5</v>
      </c>
      <c r="X21">
        <v>108.6</v>
      </c>
      <c r="Y21">
        <v>108.1</v>
      </c>
      <c r="Z21">
        <f t="shared" si="1"/>
        <v>109.06666666666666</v>
      </c>
      <c r="AA21">
        <v>107.1</v>
      </c>
      <c r="AB21">
        <v>103.2</v>
      </c>
      <c r="AC21">
        <f t="shared" si="3"/>
        <v>105.15</v>
      </c>
      <c r="AD21">
        <v>107.3</v>
      </c>
      <c r="AE21">
        <v>105.9</v>
      </c>
      <c r="AF21">
        <f t="shared" si="4"/>
        <v>106.6</v>
      </c>
      <c r="AG21">
        <v>110.1</v>
      </c>
      <c r="AH21">
        <v>107.3</v>
      </c>
      <c r="AI21">
        <v>111.4</v>
      </c>
      <c r="AJ21">
        <f t="shared" si="5"/>
        <v>109.59999999999998</v>
      </c>
    </row>
    <row r="22" spans="1:36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f t="shared" si="2"/>
        <v>112.26428571428571</v>
      </c>
      <c r="S22">
        <v>110.2</v>
      </c>
      <c r="T22">
        <v>108.8</v>
      </c>
      <c r="U22">
        <v>110</v>
      </c>
      <c r="V22">
        <f t="shared" si="0"/>
        <v>109.66666666666667</v>
      </c>
      <c r="W22">
        <v>110.5</v>
      </c>
      <c r="X22">
        <v>109.2</v>
      </c>
      <c r="Y22">
        <v>108.2</v>
      </c>
      <c r="Z22">
        <f t="shared" si="1"/>
        <v>109.3</v>
      </c>
      <c r="AA22">
        <v>107</v>
      </c>
      <c r="AB22">
        <v>102.8</v>
      </c>
      <c r="AC22">
        <f t="shared" si="3"/>
        <v>104.9</v>
      </c>
      <c r="AD22">
        <v>107.1</v>
      </c>
      <c r="AE22">
        <v>106.1</v>
      </c>
      <c r="AF22">
        <f t="shared" si="4"/>
        <v>106.6</v>
      </c>
      <c r="AG22">
        <v>109.1</v>
      </c>
      <c r="AH22">
        <v>106.9</v>
      </c>
      <c r="AI22">
        <v>111</v>
      </c>
      <c r="AJ22">
        <f t="shared" si="5"/>
        <v>109</v>
      </c>
    </row>
    <row r="23" spans="1:36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f t="shared" si="2"/>
        <v>112.37142857142858</v>
      </c>
      <c r="S23">
        <v>111.3</v>
      </c>
      <c r="T23">
        <v>110.2</v>
      </c>
      <c r="U23">
        <v>111.1</v>
      </c>
      <c r="V23">
        <f t="shared" si="0"/>
        <v>110.86666666666667</v>
      </c>
      <c r="W23">
        <v>111.1</v>
      </c>
      <c r="X23">
        <v>109.9</v>
      </c>
      <c r="Y23">
        <v>108.7</v>
      </c>
      <c r="Z23">
        <f t="shared" si="1"/>
        <v>109.89999999999999</v>
      </c>
      <c r="AA23">
        <v>107.5</v>
      </c>
      <c r="AB23">
        <v>105</v>
      </c>
      <c r="AC23">
        <f t="shared" si="3"/>
        <v>106.25</v>
      </c>
      <c r="AD23">
        <v>107.8</v>
      </c>
      <c r="AE23">
        <v>106.8</v>
      </c>
      <c r="AF23">
        <f t="shared" si="4"/>
        <v>107.3</v>
      </c>
      <c r="AG23">
        <v>108.7</v>
      </c>
      <c r="AH23">
        <v>107.5</v>
      </c>
      <c r="AI23">
        <v>112.1</v>
      </c>
      <c r="AJ23">
        <f t="shared" si="5"/>
        <v>109.43333333333332</v>
      </c>
    </row>
    <row r="24" spans="1:36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f t="shared" si="2"/>
        <v>115.60714285714288</v>
      </c>
      <c r="S24">
        <v>110.6</v>
      </c>
      <c r="T24">
        <v>108.3</v>
      </c>
      <c r="U24">
        <v>110.2</v>
      </c>
      <c r="V24">
        <f t="shared" si="0"/>
        <v>109.69999999999999</v>
      </c>
      <c r="W24">
        <v>111.1</v>
      </c>
      <c r="X24">
        <v>109.3</v>
      </c>
      <c r="Y24">
        <v>108.7</v>
      </c>
      <c r="Z24">
        <f t="shared" si="1"/>
        <v>109.69999999999999</v>
      </c>
      <c r="AA24">
        <v>107.6</v>
      </c>
      <c r="AB24">
        <v>106</v>
      </c>
      <c r="AC24">
        <f t="shared" si="3"/>
        <v>106.8</v>
      </c>
      <c r="AD24">
        <v>108.1</v>
      </c>
      <c r="AE24">
        <v>106.5</v>
      </c>
      <c r="AF24">
        <f t="shared" si="4"/>
        <v>107.3</v>
      </c>
      <c r="AG24">
        <v>110.8</v>
      </c>
      <c r="AH24">
        <v>108.3</v>
      </c>
      <c r="AI24">
        <v>112.7</v>
      </c>
      <c r="AJ24">
        <f t="shared" si="5"/>
        <v>110.60000000000001</v>
      </c>
    </row>
    <row r="25" spans="1:36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f t="shared" si="2"/>
        <v>113.47142857142858</v>
      </c>
      <c r="S25">
        <v>111</v>
      </c>
      <c r="T25">
        <v>109.4</v>
      </c>
      <c r="U25">
        <v>110.7</v>
      </c>
      <c r="V25">
        <f t="shared" si="0"/>
        <v>110.36666666666667</v>
      </c>
      <c r="W25">
        <v>110.7</v>
      </c>
      <c r="X25">
        <v>109.7</v>
      </c>
      <c r="Y25">
        <v>108.7</v>
      </c>
      <c r="Z25">
        <f t="shared" si="1"/>
        <v>109.7</v>
      </c>
      <c r="AA25">
        <v>107.5</v>
      </c>
      <c r="AB25">
        <v>105.4</v>
      </c>
      <c r="AC25">
        <f t="shared" si="3"/>
        <v>106.45</v>
      </c>
      <c r="AD25">
        <v>108</v>
      </c>
      <c r="AE25">
        <v>106.6</v>
      </c>
      <c r="AF25">
        <f t="shared" si="4"/>
        <v>107.3</v>
      </c>
      <c r="AG25">
        <v>109.9</v>
      </c>
      <c r="AH25">
        <v>107.9</v>
      </c>
      <c r="AI25">
        <v>112.4</v>
      </c>
      <c r="AJ25">
        <f t="shared" si="5"/>
        <v>110.06666666666668</v>
      </c>
    </row>
    <row r="26" spans="1:36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f t="shared" si="2"/>
        <v>114.30000000000003</v>
      </c>
      <c r="S26">
        <v>112.7</v>
      </c>
      <c r="T26">
        <v>111.4</v>
      </c>
      <c r="U26">
        <v>112.5</v>
      </c>
      <c r="V26">
        <f t="shared" si="0"/>
        <v>112.2</v>
      </c>
      <c r="W26">
        <v>110.7</v>
      </c>
      <c r="X26">
        <v>111.1</v>
      </c>
      <c r="Y26">
        <v>109.6</v>
      </c>
      <c r="Z26">
        <f t="shared" si="1"/>
        <v>110.46666666666665</v>
      </c>
      <c r="AA26">
        <v>108.3</v>
      </c>
      <c r="AB26">
        <v>106.7</v>
      </c>
      <c r="AC26">
        <f t="shared" si="3"/>
        <v>107.5</v>
      </c>
      <c r="AD26">
        <v>109.3</v>
      </c>
      <c r="AE26">
        <v>107.7</v>
      </c>
      <c r="AF26">
        <f t="shared" si="4"/>
        <v>108.5</v>
      </c>
      <c r="AG26">
        <v>109.8</v>
      </c>
      <c r="AH26">
        <v>108.7</v>
      </c>
      <c r="AI26">
        <v>114.2</v>
      </c>
      <c r="AJ26">
        <f t="shared" si="5"/>
        <v>110.89999999999999</v>
      </c>
    </row>
    <row r="27" spans="1:36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f t="shared" si="2"/>
        <v>115.23571428571429</v>
      </c>
      <c r="S27">
        <v>111.4</v>
      </c>
      <c r="T27">
        <v>109</v>
      </c>
      <c r="U27">
        <v>111.1</v>
      </c>
      <c r="V27">
        <f t="shared" si="0"/>
        <v>110.5</v>
      </c>
      <c r="W27">
        <v>111.6</v>
      </c>
      <c r="X27">
        <v>109.5</v>
      </c>
      <c r="Y27">
        <v>109.6</v>
      </c>
      <c r="Z27">
        <f t="shared" si="1"/>
        <v>110.23333333333333</v>
      </c>
      <c r="AA27">
        <v>107.9</v>
      </c>
      <c r="AB27">
        <v>106.9</v>
      </c>
      <c r="AC27">
        <f t="shared" si="3"/>
        <v>107.4</v>
      </c>
      <c r="AD27">
        <v>110.4</v>
      </c>
      <c r="AE27">
        <v>107.4</v>
      </c>
      <c r="AF27">
        <f t="shared" si="4"/>
        <v>108.9</v>
      </c>
      <c r="AG27">
        <v>111.2</v>
      </c>
      <c r="AH27">
        <v>109.4</v>
      </c>
      <c r="AI27">
        <v>113.2</v>
      </c>
      <c r="AJ27">
        <f t="shared" si="5"/>
        <v>111.26666666666667</v>
      </c>
    </row>
    <row r="28" spans="1:36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f t="shared" si="2"/>
        <v>114.54999999999998</v>
      </c>
      <c r="S28">
        <v>112.2</v>
      </c>
      <c r="T28">
        <v>110.4</v>
      </c>
      <c r="U28">
        <v>111.9</v>
      </c>
      <c r="V28">
        <f t="shared" si="0"/>
        <v>111.5</v>
      </c>
      <c r="W28">
        <v>111.6</v>
      </c>
      <c r="X28">
        <v>110.5</v>
      </c>
      <c r="Y28">
        <v>109.6</v>
      </c>
      <c r="Z28">
        <f t="shared" si="1"/>
        <v>110.56666666666666</v>
      </c>
      <c r="AA28">
        <v>108.1</v>
      </c>
      <c r="AB28">
        <v>106.8</v>
      </c>
      <c r="AC28">
        <f t="shared" si="3"/>
        <v>107.44999999999999</v>
      </c>
      <c r="AD28">
        <v>109.9</v>
      </c>
      <c r="AE28">
        <v>107.5</v>
      </c>
      <c r="AF28">
        <f t="shared" si="4"/>
        <v>108.7</v>
      </c>
      <c r="AG28">
        <v>110.6</v>
      </c>
      <c r="AH28">
        <v>109</v>
      </c>
      <c r="AI28">
        <v>113.7</v>
      </c>
      <c r="AJ28">
        <f t="shared" si="5"/>
        <v>111.10000000000001</v>
      </c>
    </row>
    <row r="29" spans="1:36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f t="shared" si="2"/>
        <v>115.72857142857143</v>
      </c>
      <c r="S29">
        <v>113.6</v>
      </c>
      <c r="T29">
        <v>112.3</v>
      </c>
      <c r="U29">
        <v>113.4</v>
      </c>
      <c r="V29">
        <f t="shared" si="0"/>
        <v>113.09999999999998</v>
      </c>
      <c r="W29">
        <v>112.5</v>
      </c>
      <c r="X29">
        <v>111.6</v>
      </c>
      <c r="Y29">
        <v>110.4</v>
      </c>
      <c r="Z29">
        <f t="shared" si="1"/>
        <v>111.5</v>
      </c>
      <c r="AA29">
        <v>108.9</v>
      </c>
      <c r="AB29">
        <v>107.5</v>
      </c>
      <c r="AC29">
        <f t="shared" si="3"/>
        <v>108.2</v>
      </c>
      <c r="AD29">
        <v>109.3</v>
      </c>
      <c r="AE29">
        <v>108.3</v>
      </c>
      <c r="AF29">
        <f t="shared" si="4"/>
        <v>108.8</v>
      </c>
      <c r="AG29">
        <v>110.2</v>
      </c>
      <c r="AH29">
        <v>109.1</v>
      </c>
      <c r="AI29">
        <v>115.5</v>
      </c>
      <c r="AJ29">
        <f t="shared" si="5"/>
        <v>111.60000000000001</v>
      </c>
    </row>
    <row r="30" spans="1:36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f t="shared" si="2"/>
        <v>116.47857142857141</v>
      </c>
      <c r="S30">
        <v>112.5</v>
      </c>
      <c r="T30">
        <v>109.7</v>
      </c>
      <c r="U30">
        <v>112</v>
      </c>
      <c r="V30">
        <f t="shared" si="0"/>
        <v>111.39999999999999</v>
      </c>
      <c r="W30">
        <v>112.5</v>
      </c>
      <c r="X30">
        <v>109.7</v>
      </c>
      <c r="Y30">
        <v>110.2</v>
      </c>
      <c r="Z30">
        <f t="shared" si="1"/>
        <v>110.8</v>
      </c>
      <c r="AA30">
        <v>108.2</v>
      </c>
      <c r="AB30">
        <v>107.3</v>
      </c>
      <c r="AC30">
        <f t="shared" si="3"/>
        <v>107.75</v>
      </c>
      <c r="AD30">
        <v>109.7</v>
      </c>
      <c r="AE30">
        <v>108</v>
      </c>
      <c r="AF30">
        <f t="shared" si="4"/>
        <v>108.85</v>
      </c>
      <c r="AG30">
        <v>111.3</v>
      </c>
      <c r="AH30">
        <v>109.4</v>
      </c>
      <c r="AI30">
        <v>114</v>
      </c>
      <c r="AJ30">
        <f t="shared" si="5"/>
        <v>111.56666666666666</v>
      </c>
    </row>
    <row r="31" spans="1:36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f t="shared" si="2"/>
        <v>115.90714285714287</v>
      </c>
      <c r="S31">
        <v>113.2</v>
      </c>
      <c r="T31">
        <v>111.2</v>
      </c>
      <c r="U31">
        <v>112.8</v>
      </c>
      <c r="V31">
        <f t="shared" si="0"/>
        <v>112.39999999999999</v>
      </c>
      <c r="W31">
        <v>113.2</v>
      </c>
      <c r="X31">
        <v>110.9</v>
      </c>
      <c r="Y31">
        <v>110.3</v>
      </c>
      <c r="Z31">
        <f t="shared" si="1"/>
        <v>111.46666666666668</v>
      </c>
      <c r="AA31">
        <v>108.6</v>
      </c>
      <c r="AB31">
        <v>107.4</v>
      </c>
      <c r="AC31">
        <f t="shared" si="3"/>
        <v>108</v>
      </c>
      <c r="AD31">
        <v>109.5</v>
      </c>
      <c r="AE31">
        <v>108.1</v>
      </c>
      <c r="AF31">
        <f t="shared" si="4"/>
        <v>108.8</v>
      </c>
      <c r="AG31">
        <v>110.8</v>
      </c>
      <c r="AH31">
        <v>109.2</v>
      </c>
      <c r="AI31">
        <v>114.8</v>
      </c>
      <c r="AJ31">
        <f t="shared" si="5"/>
        <v>111.60000000000001</v>
      </c>
    </row>
    <row r="32" spans="1:36">
      <c r="A32" t="s">
        <v>30</v>
      </c>
      <c r="B32">
        <v>2013</v>
      </c>
      <c r="C32" t="s">
        <v>45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f t="shared" si="2"/>
        <v>117.82857142857142</v>
      </c>
      <c r="S32">
        <v>114.6</v>
      </c>
      <c r="T32">
        <v>113.1</v>
      </c>
      <c r="U32">
        <v>114.4</v>
      </c>
      <c r="V32">
        <f t="shared" si="0"/>
        <v>114.03333333333335</v>
      </c>
      <c r="W32">
        <v>113.2</v>
      </c>
      <c r="X32">
        <v>112.6</v>
      </c>
      <c r="Y32">
        <v>111.3</v>
      </c>
      <c r="Z32">
        <f t="shared" si="1"/>
        <v>112.36666666666667</v>
      </c>
      <c r="AA32">
        <v>109.7</v>
      </c>
      <c r="AB32">
        <v>108.2</v>
      </c>
      <c r="AC32">
        <f t="shared" si="3"/>
        <v>108.95</v>
      </c>
      <c r="AD32">
        <v>109.6</v>
      </c>
      <c r="AE32">
        <v>108.7</v>
      </c>
      <c r="AF32">
        <f t="shared" si="4"/>
        <v>109.15</v>
      </c>
      <c r="AG32">
        <v>111</v>
      </c>
      <c r="AH32">
        <v>109.8</v>
      </c>
      <c r="AI32">
        <v>117.4</v>
      </c>
      <c r="AJ32">
        <f t="shared" si="5"/>
        <v>112.73333333333335</v>
      </c>
    </row>
    <row r="33" spans="1:36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f t="shared" si="2"/>
        <v>118.47857142857141</v>
      </c>
      <c r="S33">
        <v>113.5</v>
      </c>
      <c r="T33">
        <v>110.3</v>
      </c>
      <c r="U33">
        <v>113</v>
      </c>
      <c r="V33">
        <f t="shared" si="0"/>
        <v>112.26666666666667</v>
      </c>
      <c r="W33">
        <v>113.9</v>
      </c>
      <c r="X33">
        <v>110</v>
      </c>
      <c r="Y33">
        <v>110.9</v>
      </c>
      <c r="Z33">
        <f t="shared" si="1"/>
        <v>111.60000000000001</v>
      </c>
      <c r="AA33">
        <v>108.6</v>
      </c>
      <c r="AB33">
        <v>107.9</v>
      </c>
      <c r="AC33">
        <f t="shared" si="3"/>
        <v>108.25</v>
      </c>
      <c r="AD33">
        <v>109.5</v>
      </c>
      <c r="AE33">
        <v>108.5</v>
      </c>
      <c r="AF33">
        <f t="shared" si="4"/>
        <v>109</v>
      </c>
      <c r="AG33">
        <v>111.3</v>
      </c>
      <c r="AH33">
        <v>109.6</v>
      </c>
      <c r="AI33">
        <v>115</v>
      </c>
      <c r="AJ33">
        <f t="shared" si="5"/>
        <v>111.96666666666665</v>
      </c>
    </row>
    <row r="34" spans="1:36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f t="shared" si="2"/>
        <v>117.99285714285713</v>
      </c>
      <c r="S34">
        <v>114.2</v>
      </c>
      <c r="T34">
        <v>111.9</v>
      </c>
      <c r="U34">
        <v>113.8</v>
      </c>
      <c r="V34">
        <f t="shared" si="0"/>
        <v>113.30000000000001</v>
      </c>
      <c r="W34">
        <v>113.9</v>
      </c>
      <c r="X34">
        <v>111.6</v>
      </c>
      <c r="Y34">
        <v>111.1</v>
      </c>
      <c r="Z34">
        <f t="shared" si="1"/>
        <v>112.2</v>
      </c>
      <c r="AA34">
        <v>109.3</v>
      </c>
      <c r="AB34">
        <v>108.1</v>
      </c>
      <c r="AC34">
        <f t="shared" si="3"/>
        <v>108.69999999999999</v>
      </c>
      <c r="AD34">
        <v>109.5</v>
      </c>
      <c r="AE34">
        <v>108.6</v>
      </c>
      <c r="AF34">
        <f t="shared" si="4"/>
        <v>109.05</v>
      </c>
      <c r="AG34">
        <v>111.2</v>
      </c>
      <c r="AH34">
        <v>109.7</v>
      </c>
      <c r="AI34">
        <v>116.3</v>
      </c>
      <c r="AJ34">
        <f t="shared" si="5"/>
        <v>112.39999999999999</v>
      </c>
    </row>
    <row r="35" spans="1:36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f t="shared" si="2"/>
        <v>115.89999999999999</v>
      </c>
      <c r="S35">
        <v>115.8</v>
      </c>
      <c r="T35">
        <v>114</v>
      </c>
      <c r="U35">
        <v>115.5</v>
      </c>
      <c r="V35">
        <f t="shared" si="0"/>
        <v>115.10000000000001</v>
      </c>
      <c r="W35">
        <v>114.3</v>
      </c>
      <c r="X35">
        <v>112.8</v>
      </c>
      <c r="Y35">
        <v>112.1</v>
      </c>
      <c r="Z35">
        <f t="shared" si="1"/>
        <v>113.06666666666666</v>
      </c>
      <c r="AA35">
        <v>110.1</v>
      </c>
      <c r="AB35">
        <v>108.1</v>
      </c>
      <c r="AC35">
        <f t="shared" si="3"/>
        <v>109.1</v>
      </c>
      <c r="AD35">
        <v>109.9</v>
      </c>
      <c r="AE35">
        <v>109.2</v>
      </c>
      <c r="AF35">
        <f t="shared" si="4"/>
        <v>109.55000000000001</v>
      </c>
      <c r="AG35">
        <v>111.6</v>
      </c>
      <c r="AH35">
        <v>110.1</v>
      </c>
      <c r="AI35">
        <v>115.5</v>
      </c>
      <c r="AJ35">
        <f t="shared" si="5"/>
        <v>112.39999999999999</v>
      </c>
    </row>
    <row r="36" spans="1:36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f t="shared" si="2"/>
        <v>115.67142857142858</v>
      </c>
      <c r="S36">
        <v>114.2</v>
      </c>
      <c r="T36">
        <v>110.9</v>
      </c>
      <c r="U36">
        <v>113.7</v>
      </c>
      <c r="V36">
        <f t="shared" si="0"/>
        <v>112.93333333333334</v>
      </c>
      <c r="W36">
        <v>114.3</v>
      </c>
      <c r="X36">
        <v>110.4</v>
      </c>
      <c r="Y36">
        <v>111.3</v>
      </c>
      <c r="Z36">
        <f t="shared" si="1"/>
        <v>112</v>
      </c>
      <c r="AA36">
        <v>109</v>
      </c>
      <c r="AB36">
        <v>107.7</v>
      </c>
      <c r="AC36">
        <f t="shared" si="3"/>
        <v>108.35</v>
      </c>
      <c r="AD36">
        <v>109.7</v>
      </c>
      <c r="AE36">
        <v>108.9</v>
      </c>
      <c r="AF36">
        <f t="shared" si="4"/>
        <v>109.30000000000001</v>
      </c>
      <c r="AG36">
        <v>111.4</v>
      </c>
      <c r="AH36">
        <v>109.8</v>
      </c>
      <c r="AI36">
        <v>113.3</v>
      </c>
      <c r="AJ36">
        <f t="shared" si="5"/>
        <v>111.5</v>
      </c>
    </row>
    <row r="37" spans="1:36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f t="shared" si="2"/>
        <v>115.80714285714286</v>
      </c>
      <c r="S37">
        <v>115.2</v>
      </c>
      <c r="T37">
        <v>112.7</v>
      </c>
      <c r="U37">
        <v>114.8</v>
      </c>
      <c r="V37">
        <f t="shared" si="0"/>
        <v>114.23333333333333</v>
      </c>
      <c r="W37">
        <v>113.9</v>
      </c>
      <c r="X37">
        <v>111.9</v>
      </c>
      <c r="Y37">
        <v>111.7</v>
      </c>
      <c r="Z37">
        <f t="shared" si="1"/>
        <v>112.5</v>
      </c>
      <c r="AA37">
        <v>109.7</v>
      </c>
      <c r="AB37">
        <v>107.9</v>
      </c>
      <c r="AC37">
        <f t="shared" si="3"/>
        <v>108.80000000000001</v>
      </c>
      <c r="AD37">
        <v>109.8</v>
      </c>
      <c r="AE37">
        <v>109</v>
      </c>
      <c r="AF37">
        <f t="shared" si="4"/>
        <v>109.4</v>
      </c>
      <c r="AG37">
        <v>111.5</v>
      </c>
      <c r="AH37">
        <v>110</v>
      </c>
      <c r="AI37">
        <v>114.5</v>
      </c>
      <c r="AJ37">
        <f t="shared" si="5"/>
        <v>112</v>
      </c>
    </row>
    <row r="38" spans="1:36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f t="shared" si="2"/>
        <v>114.32857142857144</v>
      </c>
      <c r="S38">
        <v>116.5</v>
      </c>
      <c r="T38">
        <v>114.5</v>
      </c>
      <c r="U38">
        <v>116.2</v>
      </c>
      <c r="V38">
        <f t="shared" si="0"/>
        <v>115.73333333333333</v>
      </c>
      <c r="W38">
        <v>113.9</v>
      </c>
      <c r="X38">
        <v>113</v>
      </c>
      <c r="Y38">
        <v>112.6</v>
      </c>
      <c r="Z38">
        <f t="shared" si="1"/>
        <v>113.16666666666667</v>
      </c>
      <c r="AA38">
        <v>110.6</v>
      </c>
      <c r="AB38">
        <v>108.3</v>
      </c>
      <c r="AC38">
        <f t="shared" si="3"/>
        <v>109.44999999999999</v>
      </c>
      <c r="AD38">
        <v>110.5</v>
      </c>
      <c r="AE38">
        <v>109.6</v>
      </c>
      <c r="AF38">
        <f t="shared" si="4"/>
        <v>110.05</v>
      </c>
      <c r="AG38">
        <v>111.8</v>
      </c>
      <c r="AH38">
        <v>110.6</v>
      </c>
      <c r="AI38">
        <v>114.2</v>
      </c>
      <c r="AJ38">
        <f t="shared" si="5"/>
        <v>112.19999999999999</v>
      </c>
    </row>
    <row r="39" spans="1:36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f t="shared" si="2"/>
        <v>114.28571428571429</v>
      </c>
      <c r="S39">
        <v>114.8</v>
      </c>
      <c r="T39">
        <v>111.3</v>
      </c>
      <c r="U39">
        <v>114.3</v>
      </c>
      <c r="V39">
        <f t="shared" si="0"/>
        <v>113.46666666666665</v>
      </c>
      <c r="W39">
        <v>114.8</v>
      </c>
      <c r="X39">
        <v>111</v>
      </c>
      <c r="Y39">
        <v>111.9</v>
      </c>
      <c r="Z39">
        <f t="shared" si="1"/>
        <v>112.56666666666668</v>
      </c>
      <c r="AA39">
        <v>109.7</v>
      </c>
      <c r="AB39">
        <v>108</v>
      </c>
      <c r="AC39">
        <f t="shared" si="3"/>
        <v>108.85</v>
      </c>
      <c r="AD39">
        <v>110.8</v>
      </c>
      <c r="AE39">
        <v>109.8</v>
      </c>
      <c r="AF39">
        <f t="shared" si="4"/>
        <v>110.3</v>
      </c>
      <c r="AG39">
        <v>111.5</v>
      </c>
      <c r="AH39">
        <v>110.5</v>
      </c>
      <c r="AI39">
        <v>112.9</v>
      </c>
      <c r="AJ39">
        <f t="shared" si="5"/>
        <v>111.63333333333333</v>
      </c>
    </row>
    <row r="40" spans="1:36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f t="shared" si="2"/>
        <v>114.30714285714284</v>
      </c>
      <c r="S40">
        <v>115.8</v>
      </c>
      <c r="T40">
        <v>113.2</v>
      </c>
      <c r="U40">
        <v>115.4</v>
      </c>
      <c r="V40">
        <f t="shared" si="0"/>
        <v>114.8</v>
      </c>
      <c r="W40">
        <v>114.8</v>
      </c>
      <c r="X40">
        <v>112.2</v>
      </c>
      <c r="Y40">
        <v>112.3</v>
      </c>
      <c r="Z40">
        <f t="shared" si="1"/>
        <v>113.10000000000001</v>
      </c>
      <c r="AA40">
        <v>110.3</v>
      </c>
      <c r="AB40">
        <v>108.2</v>
      </c>
      <c r="AC40">
        <f t="shared" si="3"/>
        <v>109.25</v>
      </c>
      <c r="AD40">
        <v>110.7</v>
      </c>
      <c r="AE40">
        <v>109.7</v>
      </c>
      <c r="AF40">
        <f t="shared" si="4"/>
        <v>110.2</v>
      </c>
      <c r="AG40">
        <v>111.6</v>
      </c>
      <c r="AH40">
        <v>110.6</v>
      </c>
      <c r="AI40">
        <v>113.6</v>
      </c>
      <c r="AJ40">
        <f t="shared" si="5"/>
        <v>111.93333333333332</v>
      </c>
    </row>
    <row r="41" spans="1:36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f t="shared" si="2"/>
        <v>114.02857142857144</v>
      </c>
      <c r="S41">
        <v>117.1</v>
      </c>
      <c r="T41">
        <v>114.5</v>
      </c>
      <c r="U41">
        <v>116.7</v>
      </c>
      <c r="V41">
        <f t="shared" si="0"/>
        <v>116.10000000000001</v>
      </c>
      <c r="W41">
        <v>115.5</v>
      </c>
      <c r="X41">
        <v>113.2</v>
      </c>
      <c r="Y41">
        <v>112.9</v>
      </c>
      <c r="Z41">
        <f t="shared" si="1"/>
        <v>113.86666666666667</v>
      </c>
      <c r="AA41">
        <v>110.9</v>
      </c>
      <c r="AB41">
        <v>108.7</v>
      </c>
      <c r="AC41">
        <f t="shared" si="3"/>
        <v>109.80000000000001</v>
      </c>
      <c r="AD41">
        <v>110.8</v>
      </c>
      <c r="AE41">
        <v>109.9</v>
      </c>
      <c r="AF41">
        <f t="shared" si="4"/>
        <v>110.35</v>
      </c>
      <c r="AG41">
        <v>112</v>
      </c>
      <c r="AH41">
        <v>110.9</v>
      </c>
      <c r="AI41">
        <v>114</v>
      </c>
      <c r="AJ41">
        <f t="shared" si="5"/>
        <v>112.3</v>
      </c>
    </row>
    <row r="42" spans="1:36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f t="shared" si="2"/>
        <v>113.72857142857143</v>
      </c>
      <c r="S42">
        <v>115.3</v>
      </c>
      <c r="T42">
        <v>111.7</v>
      </c>
      <c r="U42">
        <v>114.7</v>
      </c>
      <c r="V42">
        <f t="shared" si="0"/>
        <v>113.89999999999999</v>
      </c>
      <c r="W42">
        <v>115.5</v>
      </c>
      <c r="X42">
        <v>111.1</v>
      </c>
      <c r="Y42">
        <v>112.6</v>
      </c>
      <c r="Z42">
        <f t="shared" si="1"/>
        <v>113.06666666666666</v>
      </c>
      <c r="AA42">
        <v>110.4</v>
      </c>
      <c r="AB42">
        <v>108.7</v>
      </c>
      <c r="AC42">
        <f t="shared" si="3"/>
        <v>109.55000000000001</v>
      </c>
      <c r="AD42">
        <v>111.3</v>
      </c>
      <c r="AE42">
        <v>110.3</v>
      </c>
      <c r="AF42">
        <f t="shared" si="4"/>
        <v>110.8</v>
      </c>
      <c r="AG42">
        <v>111.6</v>
      </c>
      <c r="AH42">
        <v>111</v>
      </c>
      <c r="AI42">
        <v>113.1</v>
      </c>
      <c r="AJ42">
        <f t="shared" si="5"/>
        <v>111.89999999999999</v>
      </c>
    </row>
    <row r="43" spans="1:36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f t="shared" si="2"/>
        <v>113.91428571428571</v>
      </c>
      <c r="S43">
        <v>116.4</v>
      </c>
      <c r="T43">
        <v>113.3</v>
      </c>
      <c r="U43">
        <v>115.9</v>
      </c>
      <c r="V43">
        <f t="shared" si="0"/>
        <v>115.2</v>
      </c>
      <c r="W43">
        <v>116.1</v>
      </c>
      <c r="X43">
        <v>112.4</v>
      </c>
      <c r="Y43">
        <v>112.8</v>
      </c>
      <c r="Z43">
        <f t="shared" si="1"/>
        <v>113.76666666666667</v>
      </c>
      <c r="AA43">
        <v>110.7</v>
      </c>
      <c r="AB43">
        <v>108.7</v>
      </c>
      <c r="AC43">
        <f t="shared" si="3"/>
        <v>109.7</v>
      </c>
      <c r="AD43">
        <v>111.1</v>
      </c>
      <c r="AE43">
        <v>110.1</v>
      </c>
      <c r="AF43">
        <f t="shared" si="4"/>
        <v>110.6</v>
      </c>
      <c r="AG43">
        <v>111.8</v>
      </c>
      <c r="AH43">
        <v>110.9</v>
      </c>
      <c r="AI43">
        <v>113.6</v>
      </c>
      <c r="AJ43">
        <f t="shared" si="5"/>
        <v>112.09999999999998</v>
      </c>
    </row>
    <row r="44" spans="1:36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f t="shared" si="2"/>
        <v>114.71428571428571</v>
      </c>
      <c r="S44">
        <v>117.5</v>
      </c>
      <c r="T44">
        <v>114.9</v>
      </c>
      <c r="U44">
        <v>117.2</v>
      </c>
      <c r="V44">
        <f t="shared" si="0"/>
        <v>116.53333333333335</v>
      </c>
      <c r="W44">
        <v>116.1</v>
      </c>
      <c r="X44">
        <v>113.4</v>
      </c>
      <c r="Y44">
        <v>113.4</v>
      </c>
      <c r="Z44">
        <f t="shared" si="1"/>
        <v>114.3</v>
      </c>
      <c r="AA44">
        <v>111.4</v>
      </c>
      <c r="AB44">
        <v>108.9</v>
      </c>
      <c r="AC44">
        <f t="shared" si="3"/>
        <v>110.15</v>
      </c>
      <c r="AD44">
        <v>111.2</v>
      </c>
      <c r="AE44">
        <v>110.2</v>
      </c>
      <c r="AF44">
        <f t="shared" si="4"/>
        <v>110.7</v>
      </c>
      <c r="AG44">
        <v>112.4</v>
      </c>
      <c r="AH44">
        <v>111.3</v>
      </c>
      <c r="AI44">
        <v>114.6</v>
      </c>
      <c r="AJ44">
        <f t="shared" si="5"/>
        <v>112.76666666666665</v>
      </c>
    </row>
    <row r="45" spans="1:36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f t="shared" si="2"/>
        <v>114.26428571428572</v>
      </c>
      <c r="S45">
        <v>115.8</v>
      </c>
      <c r="T45">
        <v>112.1</v>
      </c>
      <c r="U45">
        <v>115.2</v>
      </c>
      <c r="V45">
        <f t="shared" si="0"/>
        <v>114.36666666666666</v>
      </c>
      <c r="W45">
        <v>116.7</v>
      </c>
      <c r="X45">
        <v>110.9</v>
      </c>
      <c r="Y45">
        <v>113</v>
      </c>
      <c r="Z45">
        <f t="shared" si="1"/>
        <v>113.53333333333335</v>
      </c>
      <c r="AA45">
        <v>110.8</v>
      </c>
      <c r="AB45">
        <v>109.2</v>
      </c>
      <c r="AC45">
        <f t="shared" si="3"/>
        <v>110</v>
      </c>
      <c r="AD45">
        <v>111.6</v>
      </c>
      <c r="AE45">
        <v>110.9</v>
      </c>
      <c r="AF45">
        <f t="shared" si="4"/>
        <v>111.25</v>
      </c>
      <c r="AG45">
        <v>111.8</v>
      </c>
      <c r="AH45">
        <v>111.4</v>
      </c>
      <c r="AI45">
        <v>113.7</v>
      </c>
      <c r="AJ45">
        <f t="shared" si="5"/>
        <v>112.3</v>
      </c>
    </row>
    <row r="46" spans="1:36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f t="shared" si="2"/>
        <v>114.53571428571426</v>
      </c>
      <c r="S46">
        <v>116.8</v>
      </c>
      <c r="T46">
        <v>113.7</v>
      </c>
      <c r="U46">
        <v>116.4</v>
      </c>
      <c r="V46">
        <f t="shared" si="0"/>
        <v>115.63333333333333</v>
      </c>
      <c r="W46">
        <v>116.7</v>
      </c>
      <c r="X46">
        <v>112.5</v>
      </c>
      <c r="Y46">
        <v>113.2</v>
      </c>
      <c r="Z46">
        <f t="shared" si="1"/>
        <v>114.13333333333333</v>
      </c>
      <c r="AA46">
        <v>111.2</v>
      </c>
      <c r="AB46">
        <v>109</v>
      </c>
      <c r="AC46">
        <f t="shared" si="3"/>
        <v>110.1</v>
      </c>
      <c r="AD46">
        <v>111.4</v>
      </c>
      <c r="AE46">
        <v>110.6</v>
      </c>
      <c r="AF46">
        <f t="shared" si="4"/>
        <v>111</v>
      </c>
      <c r="AG46">
        <v>112</v>
      </c>
      <c r="AH46">
        <v>111.3</v>
      </c>
      <c r="AI46">
        <v>114.2</v>
      </c>
      <c r="AJ46">
        <f t="shared" si="5"/>
        <v>112.5</v>
      </c>
    </row>
    <row r="47" spans="1:36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f t="shared" si="2"/>
        <v>115.67857142857144</v>
      </c>
      <c r="S47">
        <v>118.1</v>
      </c>
      <c r="T47">
        <v>116.1</v>
      </c>
      <c r="U47">
        <v>117.8</v>
      </c>
      <c r="V47">
        <f t="shared" si="0"/>
        <v>117.33333333333333</v>
      </c>
      <c r="W47">
        <v>117.1</v>
      </c>
      <c r="X47">
        <v>113.4</v>
      </c>
      <c r="Y47">
        <v>113.7</v>
      </c>
      <c r="Z47">
        <f t="shared" si="1"/>
        <v>114.73333333333333</v>
      </c>
      <c r="AA47">
        <v>111.8</v>
      </c>
      <c r="AB47">
        <v>108.9</v>
      </c>
      <c r="AC47">
        <f t="shared" si="3"/>
        <v>110.35</v>
      </c>
      <c r="AD47">
        <v>111.2</v>
      </c>
      <c r="AE47">
        <v>110.5</v>
      </c>
      <c r="AF47">
        <f t="shared" si="4"/>
        <v>110.85</v>
      </c>
      <c r="AG47">
        <v>113</v>
      </c>
      <c r="AH47">
        <v>111.5</v>
      </c>
      <c r="AI47">
        <v>115.4</v>
      </c>
      <c r="AJ47">
        <f t="shared" si="5"/>
        <v>113.3</v>
      </c>
    </row>
    <row r="48" spans="1:36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f t="shared" si="2"/>
        <v>115.82857142857144</v>
      </c>
      <c r="S48">
        <v>116.3</v>
      </c>
      <c r="T48">
        <v>112.5</v>
      </c>
      <c r="U48">
        <v>115.7</v>
      </c>
      <c r="V48">
        <f t="shared" si="0"/>
        <v>114.83333333333333</v>
      </c>
      <c r="W48">
        <v>117.1</v>
      </c>
      <c r="X48">
        <v>110.9</v>
      </c>
      <c r="Y48">
        <v>113.4</v>
      </c>
      <c r="Z48">
        <f t="shared" si="1"/>
        <v>113.8</v>
      </c>
      <c r="AA48">
        <v>111</v>
      </c>
      <c r="AB48">
        <v>109.1</v>
      </c>
      <c r="AC48">
        <f t="shared" si="3"/>
        <v>110.05</v>
      </c>
      <c r="AD48">
        <v>111.2</v>
      </c>
      <c r="AE48">
        <v>111.2</v>
      </c>
      <c r="AF48">
        <f t="shared" si="4"/>
        <v>111.2</v>
      </c>
      <c r="AG48">
        <v>112.5</v>
      </c>
      <c r="AH48">
        <v>111.4</v>
      </c>
      <c r="AI48">
        <v>114.7</v>
      </c>
      <c r="AJ48">
        <f t="shared" si="5"/>
        <v>112.86666666666667</v>
      </c>
    </row>
    <row r="49" spans="1:36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f t="shared" si="2"/>
        <v>115.72142857142856</v>
      </c>
      <c r="S49">
        <v>117.4</v>
      </c>
      <c r="T49">
        <v>114.6</v>
      </c>
      <c r="U49">
        <v>117</v>
      </c>
      <c r="V49">
        <f t="shared" si="0"/>
        <v>116.33333333333333</v>
      </c>
      <c r="W49">
        <v>116.5</v>
      </c>
      <c r="X49">
        <v>112.5</v>
      </c>
      <c r="Y49">
        <v>113.6</v>
      </c>
      <c r="Z49">
        <f t="shared" si="1"/>
        <v>114.2</v>
      </c>
      <c r="AA49">
        <v>111.5</v>
      </c>
      <c r="AB49">
        <v>109</v>
      </c>
      <c r="AC49">
        <f t="shared" si="3"/>
        <v>110.25</v>
      </c>
      <c r="AD49">
        <v>111.2</v>
      </c>
      <c r="AE49">
        <v>110.9</v>
      </c>
      <c r="AF49">
        <f t="shared" si="4"/>
        <v>111.05000000000001</v>
      </c>
      <c r="AG49">
        <v>112.7</v>
      </c>
      <c r="AH49">
        <v>111.5</v>
      </c>
      <c r="AI49">
        <v>115.1</v>
      </c>
      <c r="AJ49">
        <f t="shared" si="5"/>
        <v>113.09999999999998</v>
      </c>
    </row>
    <row r="50" spans="1:36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f t="shared" si="2"/>
        <v>116.44285714285714</v>
      </c>
      <c r="S50">
        <v>118.7</v>
      </c>
      <c r="T50">
        <v>116.8</v>
      </c>
      <c r="U50">
        <v>118.5</v>
      </c>
      <c r="V50">
        <f t="shared" si="0"/>
        <v>118</v>
      </c>
      <c r="W50">
        <v>116.5</v>
      </c>
      <c r="X50">
        <v>113.4</v>
      </c>
      <c r="Y50">
        <v>114.1</v>
      </c>
      <c r="Z50">
        <f t="shared" si="1"/>
        <v>114.66666666666667</v>
      </c>
      <c r="AA50">
        <v>112.1</v>
      </c>
      <c r="AB50">
        <v>108.9</v>
      </c>
      <c r="AC50">
        <f t="shared" si="3"/>
        <v>110.5</v>
      </c>
      <c r="AD50">
        <v>111.4</v>
      </c>
      <c r="AE50">
        <v>110.9</v>
      </c>
      <c r="AF50">
        <f t="shared" si="4"/>
        <v>111.15</v>
      </c>
      <c r="AG50">
        <v>113.1</v>
      </c>
      <c r="AH50">
        <v>111.8</v>
      </c>
      <c r="AI50">
        <v>116</v>
      </c>
      <c r="AJ50">
        <f t="shared" si="5"/>
        <v>113.63333333333333</v>
      </c>
    </row>
    <row r="51" spans="1:36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f t="shared" si="2"/>
        <v>117.4</v>
      </c>
      <c r="S51">
        <v>116.8</v>
      </c>
      <c r="T51">
        <v>112.9</v>
      </c>
      <c r="U51">
        <v>116.2</v>
      </c>
      <c r="V51">
        <f t="shared" si="0"/>
        <v>115.3</v>
      </c>
      <c r="W51">
        <v>117.3</v>
      </c>
      <c r="X51">
        <v>111.1</v>
      </c>
      <c r="Y51">
        <v>114.1</v>
      </c>
      <c r="Z51">
        <f t="shared" si="1"/>
        <v>114.16666666666667</v>
      </c>
      <c r="AA51">
        <v>111.2</v>
      </c>
      <c r="AB51">
        <v>109.3</v>
      </c>
      <c r="AC51">
        <f t="shared" si="3"/>
        <v>110.25</v>
      </c>
      <c r="AD51">
        <v>111.3</v>
      </c>
      <c r="AE51">
        <v>111.5</v>
      </c>
      <c r="AF51">
        <f t="shared" si="4"/>
        <v>111.4</v>
      </c>
      <c r="AG51">
        <v>112.9</v>
      </c>
      <c r="AH51">
        <v>111.7</v>
      </c>
      <c r="AI51">
        <v>115.6</v>
      </c>
      <c r="AJ51">
        <f t="shared" si="5"/>
        <v>113.40000000000002</v>
      </c>
    </row>
    <row r="52" spans="1:36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f t="shared" si="2"/>
        <v>116.80714285714289</v>
      </c>
      <c r="S52">
        <v>118</v>
      </c>
      <c r="T52">
        <v>115.2</v>
      </c>
      <c r="U52">
        <v>117.6</v>
      </c>
      <c r="V52">
        <f t="shared" si="0"/>
        <v>116.93333333333332</v>
      </c>
      <c r="W52">
        <v>117.3</v>
      </c>
      <c r="X52">
        <v>112.5</v>
      </c>
      <c r="Y52">
        <v>114.1</v>
      </c>
      <c r="Z52">
        <f t="shared" si="1"/>
        <v>114.63333333333333</v>
      </c>
      <c r="AA52">
        <v>111.8</v>
      </c>
      <c r="AB52">
        <v>109.1</v>
      </c>
      <c r="AC52">
        <f t="shared" si="3"/>
        <v>110.44999999999999</v>
      </c>
      <c r="AD52">
        <v>111.3</v>
      </c>
      <c r="AE52">
        <v>111.2</v>
      </c>
      <c r="AF52">
        <f t="shared" si="4"/>
        <v>111.25</v>
      </c>
      <c r="AG52">
        <v>113</v>
      </c>
      <c r="AH52">
        <v>111.8</v>
      </c>
      <c r="AI52">
        <v>115.8</v>
      </c>
      <c r="AJ52">
        <f t="shared" si="5"/>
        <v>113.53333333333335</v>
      </c>
    </row>
    <row r="53" spans="1:36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f t="shared" si="2"/>
        <v>117.35714285714285</v>
      </c>
      <c r="S53">
        <v>119.7</v>
      </c>
      <c r="T53">
        <v>117.3</v>
      </c>
      <c r="U53">
        <v>119.3</v>
      </c>
      <c r="V53">
        <f t="shared" si="0"/>
        <v>118.76666666666667</v>
      </c>
      <c r="W53">
        <v>118.1</v>
      </c>
      <c r="X53">
        <v>114.4</v>
      </c>
      <c r="Y53">
        <v>114.9</v>
      </c>
      <c r="Z53">
        <f t="shared" si="1"/>
        <v>115.8</v>
      </c>
      <c r="AA53">
        <v>112.8</v>
      </c>
      <c r="AB53">
        <v>108</v>
      </c>
      <c r="AC53">
        <f t="shared" si="3"/>
        <v>110.4</v>
      </c>
      <c r="AD53">
        <v>112.2</v>
      </c>
      <c r="AE53">
        <v>111.4</v>
      </c>
      <c r="AF53">
        <f t="shared" si="4"/>
        <v>111.80000000000001</v>
      </c>
      <c r="AG53">
        <v>114.3</v>
      </c>
      <c r="AH53">
        <v>112.3</v>
      </c>
      <c r="AI53">
        <v>117</v>
      </c>
      <c r="AJ53">
        <f t="shared" si="5"/>
        <v>114.53333333333335</v>
      </c>
    </row>
    <row r="54" spans="1:36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f t="shared" si="2"/>
        <v>119</v>
      </c>
      <c r="S54">
        <v>117.4</v>
      </c>
      <c r="T54">
        <v>113.2</v>
      </c>
      <c r="U54">
        <v>116.7</v>
      </c>
      <c r="V54">
        <f t="shared" si="0"/>
        <v>115.76666666666667</v>
      </c>
      <c r="W54">
        <v>118.1</v>
      </c>
      <c r="X54">
        <v>111.2</v>
      </c>
      <c r="Y54">
        <v>114.3</v>
      </c>
      <c r="Z54">
        <f t="shared" si="1"/>
        <v>114.53333333333335</v>
      </c>
      <c r="AA54">
        <v>111.4</v>
      </c>
      <c r="AB54">
        <v>108.7</v>
      </c>
      <c r="AC54">
        <f t="shared" si="3"/>
        <v>110.05000000000001</v>
      </c>
      <c r="AD54">
        <v>111.5</v>
      </c>
      <c r="AE54">
        <v>111.8</v>
      </c>
      <c r="AF54">
        <f t="shared" si="4"/>
        <v>111.65</v>
      </c>
      <c r="AG54">
        <v>115.1</v>
      </c>
      <c r="AH54">
        <v>112.2</v>
      </c>
      <c r="AI54">
        <v>116.4</v>
      </c>
      <c r="AJ54">
        <f t="shared" si="5"/>
        <v>114.56666666666668</v>
      </c>
    </row>
    <row r="55" spans="1:36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f t="shared" si="2"/>
        <v>117.96428571428574</v>
      </c>
      <c r="S55">
        <v>118.8</v>
      </c>
      <c r="T55">
        <v>115.6</v>
      </c>
      <c r="U55">
        <v>118.3</v>
      </c>
      <c r="V55">
        <f t="shared" si="0"/>
        <v>117.56666666666666</v>
      </c>
      <c r="W55">
        <v>118.6</v>
      </c>
      <c r="X55">
        <v>113.2</v>
      </c>
      <c r="Y55">
        <v>114.6</v>
      </c>
      <c r="Z55">
        <f t="shared" si="1"/>
        <v>115.46666666666665</v>
      </c>
      <c r="AA55">
        <v>112.3</v>
      </c>
      <c r="AB55">
        <v>108.3</v>
      </c>
      <c r="AC55">
        <f t="shared" si="3"/>
        <v>110.3</v>
      </c>
      <c r="AD55">
        <v>111.8</v>
      </c>
      <c r="AE55">
        <v>111.6</v>
      </c>
      <c r="AF55">
        <f t="shared" si="4"/>
        <v>111.69999999999999</v>
      </c>
      <c r="AG55">
        <v>114.8</v>
      </c>
      <c r="AH55">
        <v>112.3</v>
      </c>
      <c r="AI55">
        <v>116.7</v>
      </c>
      <c r="AJ55">
        <f t="shared" si="5"/>
        <v>114.60000000000001</v>
      </c>
    </row>
    <row r="56" spans="1:36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f t="shared" si="2"/>
        <v>120.08571428571429</v>
      </c>
      <c r="S56">
        <v>120.7</v>
      </c>
      <c r="T56">
        <v>118.3</v>
      </c>
      <c r="U56">
        <v>120.3</v>
      </c>
      <c r="V56">
        <f t="shared" si="0"/>
        <v>119.76666666666667</v>
      </c>
      <c r="W56">
        <v>118.6</v>
      </c>
      <c r="X56">
        <v>115.3</v>
      </c>
      <c r="Y56">
        <v>115.4</v>
      </c>
      <c r="Z56">
        <f t="shared" si="1"/>
        <v>116.43333333333332</v>
      </c>
      <c r="AA56">
        <v>113.4</v>
      </c>
      <c r="AB56">
        <v>108.8</v>
      </c>
      <c r="AC56">
        <f t="shared" si="3"/>
        <v>111.1</v>
      </c>
      <c r="AD56">
        <v>113.2</v>
      </c>
      <c r="AE56">
        <v>111.8</v>
      </c>
      <c r="AF56">
        <f t="shared" si="4"/>
        <v>112.5</v>
      </c>
      <c r="AG56">
        <v>115.5</v>
      </c>
      <c r="AH56">
        <v>113.1</v>
      </c>
      <c r="AI56">
        <v>119.5</v>
      </c>
      <c r="AJ56">
        <f t="shared" si="5"/>
        <v>116.03333333333335</v>
      </c>
    </row>
    <row r="57" spans="1:36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f t="shared" si="2"/>
        <v>122.89285714285714</v>
      </c>
      <c r="S57">
        <v>118</v>
      </c>
      <c r="T57">
        <v>113.6</v>
      </c>
      <c r="U57">
        <v>117.4</v>
      </c>
      <c r="V57">
        <f t="shared" si="0"/>
        <v>116.33333333333333</v>
      </c>
      <c r="W57">
        <v>119.2</v>
      </c>
      <c r="X57">
        <v>111.6</v>
      </c>
      <c r="Y57">
        <v>114.9</v>
      </c>
      <c r="Z57">
        <f t="shared" si="1"/>
        <v>115.23333333333335</v>
      </c>
      <c r="AA57">
        <v>111.5</v>
      </c>
      <c r="AB57">
        <v>109.7</v>
      </c>
      <c r="AC57">
        <f t="shared" si="3"/>
        <v>110.6</v>
      </c>
      <c r="AD57">
        <v>113</v>
      </c>
      <c r="AE57">
        <v>112.4</v>
      </c>
      <c r="AF57">
        <f t="shared" si="4"/>
        <v>112.7</v>
      </c>
      <c r="AG57">
        <v>117.8</v>
      </c>
      <c r="AH57">
        <v>113.5</v>
      </c>
      <c r="AI57">
        <v>118.9</v>
      </c>
      <c r="AJ57">
        <f t="shared" si="5"/>
        <v>116.73333333333335</v>
      </c>
    </row>
    <row r="58" spans="1:36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f t="shared" si="2"/>
        <v>121.07857142857142</v>
      </c>
      <c r="S58">
        <v>119.6</v>
      </c>
      <c r="T58">
        <v>116.3</v>
      </c>
      <c r="U58">
        <v>119.1</v>
      </c>
      <c r="V58">
        <f t="shared" si="0"/>
        <v>118.33333333333333</v>
      </c>
      <c r="W58">
        <v>119.2</v>
      </c>
      <c r="X58">
        <v>113.9</v>
      </c>
      <c r="Y58">
        <v>115.2</v>
      </c>
      <c r="Z58">
        <f t="shared" si="1"/>
        <v>116.10000000000001</v>
      </c>
      <c r="AA58">
        <v>112.7</v>
      </c>
      <c r="AB58">
        <v>109.2</v>
      </c>
      <c r="AC58">
        <f t="shared" si="3"/>
        <v>110.95</v>
      </c>
      <c r="AD58">
        <v>113.1</v>
      </c>
      <c r="AE58">
        <v>112.1</v>
      </c>
      <c r="AF58">
        <f t="shared" si="4"/>
        <v>112.6</v>
      </c>
      <c r="AG58">
        <v>116.8</v>
      </c>
      <c r="AH58">
        <v>113.3</v>
      </c>
      <c r="AI58">
        <v>119.2</v>
      </c>
      <c r="AJ58">
        <f t="shared" si="5"/>
        <v>116.43333333333334</v>
      </c>
    </row>
    <row r="59" spans="1:36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f t="shared" si="2"/>
        <v>121.50714285714284</v>
      </c>
      <c r="S59">
        <v>120.9</v>
      </c>
      <c r="T59">
        <v>118.8</v>
      </c>
      <c r="U59">
        <v>120.7</v>
      </c>
      <c r="V59">
        <f t="shared" si="0"/>
        <v>120.13333333333333</v>
      </c>
      <c r="W59">
        <v>119.6</v>
      </c>
      <c r="X59">
        <v>115.4</v>
      </c>
      <c r="Y59">
        <v>115.9</v>
      </c>
      <c r="Z59">
        <f t="shared" si="1"/>
        <v>116.96666666666665</v>
      </c>
      <c r="AA59">
        <v>114</v>
      </c>
      <c r="AB59">
        <v>109.4</v>
      </c>
      <c r="AC59">
        <f t="shared" si="3"/>
        <v>111.7</v>
      </c>
      <c r="AD59">
        <v>113.2</v>
      </c>
      <c r="AE59">
        <v>112.2</v>
      </c>
      <c r="AF59">
        <f t="shared" si="4"/>
        <v>112.7</v>
      </c>
      <c r="AG59">
        <v>116.2</v>
      </c>
      <c r="AH59">
        <v>113.5</v>
      </c>
      <c r="AI59">
        <v>120.7</v>
      </c>
      <c r="AJ59">
        <f t="shared" si="5"/>
        <v>116.8</v>
      </c>
    </row>
    <row r="60" spans="1:36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f t="shared" si="2"/>
        <v>124.28571428571429</v>
      </c>
      <c r="S60">
        <v>118.6</v>
      </c>
      <c r="T60">
        <v>114.1</v>
      </c>
      <c r="U60">
        <v>117.9</v>
      </c>
      <c r="V60">
        <f t="shared" si="0"/>
        <v>116.86666666666667</v>
      </c>
      <c r="W60">
        <v>119.6</v>
      </c>
      <c r="X60">
        <v>111.8</v>
      </c>
      <c r="Y60">
        <v>115.3</v>
      </c>
      <c r="Z60">
        <f t="shared" si="1"/>
        <v>115.56666666666666</v>
      </c>
      <c r="AA60">
        <v>112.2</v>
      </c>
      <c r="AB60">
        <v>110.5</v>
      </c>
      <c r="AC60">
        <f t="shared" si="3"/>
        <v>111.35</v>
      </c>
      <c r="AD60">
        <v>112.5</v>
      </c>
      <c r="AE60">
        <v>112.9</v>
      </c>
      <c r="AF60">
        <f t="shared" si="4"/>
        <v>112.7</v>
      </c>
      <c r="AG60">
        <v>119.2</v>
      </c>
      <c r="AH60">
        <v>113.9</v>
      </c>
      <c r="AI60">
        <v>119.9</v>
      </c>
      <c r="AJ60">
        <f t="shared" si="5"/>
        <v>117.66666666666667</v>
      </c>
    </row>
    <row r="61" spans="1:36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f t="shared" si="2"/>
        <v>122.45714285714284</v>
      </c>
      <c r="S61">
        <v>120</v>
      </c>
      <c r="T61">
        <v>116.8</v>
      </c>
      <c r="U61">
        <v>119.6</v>
      </c>
      <c r="V61">
        <f t="shared" si="0"/>
        <v>118.8</v>
      </c>
      <c r="W61">
        <v>119</v>
      </c>
      <c r="X61">
        <v>114</v>
      </c>
      <c r="Y61">
        <v>115.6</v>
      </c>
      <c r="Z61">
        <f t="shared" si="1"/>
        <v>116.2</v>
      </c>
      <c r="AA61">
        <v>113.3</v>
      </c>
      <c r="AB61">
        <v>109.9</v>
      </c>
      <c r="AC61">
        <f t="shared" si="3"/>
        <v>111.6</v>
      </c>
      <c r="AD61">
        <v>112.8</v>
      </c>
      <c r="AE61">
        <v>112.6</v>
      </c>
      <c r="AF61">
        <f t="shared" si="4"/>
        <v>112.69999999999999</v>
      </c>
      <c r="AG61">
        <v>118</v>
      </c>
      <c r="AH61">
        <v>113.7</v>
      </c>
      <c r="AI61">
        <v>120.3</v>
      </c>
      <c r="AJ61">
        <f t="shared" si="5"/>
        <v>117.33333333333333</v>
      </c>
    </row>
    <row r="62" spans="1:36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f t="shared" si="2"/>
        <v>121.62142857142858</v>
      </c>
      <c r="S62">
        <v>121.7</v>
      </c>
      <c r="T62">
        <v>119.2</v>
      </c>
      <c r="U62">
        <v>121.3</v>
      </c>
      <c r="V62">
        <f t="shared" si="0"/>
        <v>120.73333333333333</v>
      </c>
      <c r="W62">
        <v>119</v>
      </c>
      <c r="X62">
        <v>115.8</v>
      </c>
      <c r="Y62">
        <v>116.7</v>
      </c>
      <c r="Z62">
        <f t="shared" si="1"/>
        <v>117.16666666666667</v>
      </c>
      <c r="AA62">
        <v>114.5</v>
      </c>
      <c r="AB62">
        <v>109.1</v>
      </c>
      <c r="AC62">
        <f t="shared" si="3"/>
        <v>111.8</v>
      </c>
      <c r="AD62">
        <v>112.8</v>
      </c>
      <c r="AE62">
        <v>112.6</v>
      </c>
      <c r="AF62">
        <f t="shared" si="4"/>
        <v>112.69999999999999</v>
      </c>
      <c r="AG62">
        <v>116.6</v>
      </c>
      <c r="AH62">
        <v>113.7</v>
      </c>
      <c r="AI62">
        <v>120.9</v>
      </c>
      <c r="AJ62">
        <f t="shared" si="5"/>
        <v>117.06666666666668</v>
      </c>
    </row>
    <row r="63" spans="1:36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f t="shared" si="2"/>
        <v>122.71428571428574</v>
      </c>
      <c r="S63">
        <v>119.2</v>
      </c>
      <c r="T63">
        <v>114.5</v>
      </c>
      <c r="U63">
        <v>118.4</v>
      </c>
      <c r="V63">
        <f t="shared" si="0"/>
        <v>117.36666666666667</v>
      </c>
      <c r="W63">
        <v>119.9</v>
      </c>
      <c r="X63">
        <v>111.8</v>
      </c>
      <c r="Y63">
        <v>115.5</v>
      </c>
      <c r="Z63">
        <f t="shared" si="1"/>
        <v>115.73333333333333</v>
      </c>
      <c r="AA63">
        <v>112.3</v>
      </c>
      <c r="AB63">
        <v>110</v>
      </c>
      <c r="AC63">
        <f t="shared" si="3"/>
        <v>111.15</v>
      </c>
      <c r="AD63">
        <v>111.2</v>
      </c>
      <c r="AE63">
        <v>113.4</v>
      </c>
      <c r="AF63">
        <f t="shared" si="4"/>
        <v>112.30000000000001</v>
      </c>
      <c r="AG63">
        <v>120</v>
      </c>
      <c r="AH63">
        <v>113.6</v>
      </c>
      <c r="AI63">
        <v>119.2</v>
      </c>
      <c r="AJ63">
        <f t="shared" si="5"/>
        <v>117.60000000000001</v>
      </c>
    </row>
    <row r="64" spans="1:36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f t="shared" si="2"/>
        <v>121.92142857142855</v>
      </c>
      <c r="S64">
        <v>120.7</v>
      </c>
      <c r="T64">
        <v>117.2</v>
      </c>
      <c r="U64">
        <v>120.1</v>
      </c>
      <c r="V64">
        <f t="shared" si="0"/>
        <v>119.33333333333333</v>
      </c>
      <c r="W64">
        <v>119.9</v>
      </c>
      <c r="X64">
        <v>114.3</v>
      </c>
      <c r="Y64">
        <v>116.1</v>
      </c>
      <c r="Z64">
        <f t="shared" si="1"/>
        <v>116.76666666666665</v>
      </c>
      <c r="AA64">
        <v>113.7</v>
      </c>
      <c r="AB64">
        <v>109.5</v>
      </c>
      <c r="AC64">
        <f t="shared" si="3"/>
        <v>111.6</v>
      </c>
      <c r="AD64">
        <v>112</v>
      </c>
      <c r="AE64">
        <v>113.1</v>
      </c>
      <c r="AF64">
        <f t="shared" si="4"/>
        <v>112.55</v>
      </c>
      <c r="AG64">
        <v>118.6</v>
      </c>
      <c r="AH64">
        <v>113.7</v>
      </c>
      <c r="AI64">
        <v>120.1</v>
      </c>
      <c r="AJ64">
        <f t="shared" si="5"/>
        <v>117.46666666666665</v>
      </c>
    </row>
    <row r="65" spans="1:36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f t="shared" si="2"/>
        <v>121.51428571428571</v>
      </c>
      <c r="S65">
        <v>122.7</v>
      </c>
      <c r="T65">
        <v>120.3</v>
      </c>
      <c r="U65">
        <v>122.3</v>
      </c>
      <c r="V65">
        <f t="shared" si="0"/>
        <v>121.76666666666667</v>
      </c>
      <c r="W65">
        <v>120.9</v>
      </c>
      <c r="X65">
        <v>116.4</v>
      </c>
      <c r="Y65">
        <v>117.5</v>
      </c>
      <c r="Z65">
        <f t="shared" si="1"/>
        <v>118.26666666666667</v>
      </c>
      <c r="AA65">
        <v>115.3</v>
      </c>
      <c r="AB65">
        <v>109.3</v>
      </c>
      <c r="AC65">
        <f t="shared" si="3"/>
        <v>112.3</v>
      </c>
      <c r="AD65">
        <v>112.6</v>
      </c>
      <c r="AE65">
        <v>113</v>
      </c>
      <c r="AF65">
        <f t="shared" si="4"/>
        <v>112.8</v>
      </c>
      <c r="AG65">
        <v>116.9</v>
      </c>
      <c r="AH65">
        <v>114</v>
      </c>
      <c r="AI65">
        <v>121</v>
      </c>
      <c r="AJ65">
        <f t="shared" si="5"/>
        <v>117.3</v>
      </c>
    </row>
    <row r="66" spans="1:36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f t="shared" si="2"/>
        <v>122.27142857142857</v>
      </c>
      <c r="S66">
        <v>119.6</v>
      </c>
      <c r="T66">
        <v>114.9</v>
      </c>
      <c r="U66">
        <v>118.9</v>
      </c>
      <c r="V66">
        <f t="shared" ref="V66:V129" si="6">AVERAGE(S66:U66)</f>
        <v>117.8</v>
      </c>
      <c r="W66">
        <v>120.9</v>
      </c>
      <c r="X66">
        <v>112</v>
      </c>
      <c r="Y66">
        <v>115.8</v>
      </c>
      <c r="Z66">
        <f t="shared" ref="Z66:Z129" si="7">AVERAGE(W66:Y66)</f>
        <v>116.23333333333333</v>
      </c>
      <c r="AA66">
        <v>112.6</v>
      </c>
      <c r="AB66">
        <v>110.1</v>
      </c>
      <c r="AC66">
        <f t="shared" si="3"/>
        <v>111.35</v>
      </c>
      <c r="AD66">
        <v>111</v>
      </c>
      <c r="AE66">
        <v>113.6</v>
      </c>
      <c r="AF66">
        <f t="shared" si="4"/>
        <v>112.3</v>
      </c>
      <c r="AG66">
        <v>120.2</v>
      </c>
      <c r="AH66">
        <v>113.7</v>
      </c>
      <c r="AI66">
        <v>119.1</v>
      </c>
      <c r="AJ66">
        <f t="shared" si="5"/>
        <v>117.66666666666667</v>
      </c>
    </row>
    <row r="67" spans="1:36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f t="shared" ref="R67:R130" si="8">AVERAGE(D67:Q67)</f>
        <v>121.7</v>
      </c>
      <c r="S67">
        <v>121.5</v>
      </c>
      <c r="T67">
        <v>118.1</v>
      </c>
      <c r="U67">
        <v>121</v>
      </c>
      <c r="V67">
        <f t="shared" si="6"/>
        <v>120.2</v>
      </c>
      <c r="W67">
        <v>121.6</v>
      </c>
      <c r="X67">
        <v>114.7</v>
      </c>
      <c r="Y67">
        <v>116.7</v>
      </c>
      <c r="Z67">
        <f t="shared" si="7"/>
        <v>117.66666666666667</v>
      </c>
      <c r="AA67">
        <v>114.3</v>
      </c>
      <c r="AB67">
        <v>109.6</v>
      </c>
      <c r="AC67">
        <f t="shared" ref="AC67:AC130" si="9">AVERAGE(AA67:AB67)</f>
        <v>111.94999999999999</v>
      </c>
      <c r="AD67">
        <v>111.8</v>
      </c>
      <c r="AE67">
        <v>113.3</v>
      </c>
      <c r="AF67">
        <f t="shared" ref="AF67:AF130" si="10">AVERAGE(AD67:AE67)</f>
        <v>112.55</v>
      </c>
      <c r="AG67">
        <v>118.8</v>
      </c>
      <c r="AH67">
        <v>113.9</v>
      </c>
      <c r="AI67">
        <v>120.1</v>
      </c>
      <c r="AJ67">
        <f t="shared" ref="AJ67:AJ130" si="11">AVERAGE(AG67:AI67)</f>
        <v>117.59999999999998</v>
      </c>
    </row>
    <row r="68" spans="1:36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f t="shared" si="8"/>
        <v>121.62857142857142</v>
      </c>
      <c r="S68">
        <v>123.3</v>
      </c>
      <c r="T68">
        <v>120.5</v>
      </c>
      <c r="U68">
        <v>122.9</v>
      </c>
      <c r="V68">
        <f t="shared" si="6"/>
        <v>122.23333333333335</v>
      </c>
      <c r="W68">
        <v>121.6</v>
      </c>
      <c r="X68">
        <v>117.3</v>
      </c>
      <c r="Y68">
        <v>118.1</v>
      </c>
      <c r="Z68">
        <f t="shared" si="7"/>
        <v>119</v>
      </c>
      <c r="AA68">
        <v>115.9</v>
      </c>
      <c r="AB68">
        <v>108.8</v>
      </c>
      <c r="AC68">
        <f t="shared" si="9"/>
        <v>112.35</v>
      </c>
      <c r="AD68">
        <v>112</v>
      </c>
      <c r="AE68">
        <v>113.3</v>
      </c>
      <c r="AF68">
        <f t="shared" si="10"/>
        <v>112.65</v>
      </c>
      <c r="AG68">
        <v>117.2</v>
      </c>
      <c r="AH68">
        <v>114.1</v>
      </c>
      <c r="AI68">
        <v>121.1</v>
      </c>
      <c r="AJ68">
        <f t="shared" si="11"/>
        <v>117.46666666666665</v>
      </c>
    </row>
    <row r="69" spans="1:36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f t="shared" si="8"/>
        <v>122.39999999999999</v>
      </c>
      <c r="S69">
        <v>120.3</v>
      </c>
      <c r="T69">
        <v>115.4</v>
      </c>
      <c r="U69">
        <v>119.5</v>
      </c>
      <c r="V69">
        <f t="shared" si="6"/>
        <v>118.39999999999999</v>
      </c>
      <c r="W69">
        <v>122.4</v>
      </c>
      <c r="X69">
        <v>112.6</v>
      </c>
      <c r="Y69">
        <v>116.4</v>
      </c>
      <c r="Z69">
        <f t="shared" si="7"/>
        <v>117.13333333333333</v>
      </c>
      <c r="AA69">
        <v>113</v>
      </c>
      <c r="AB69">
        <v>109.6</v>
      </c>
      <c r="AC69">
        <f t="shared" si="9"/>
        <v>111.3</v>
      </c>
      <c r="AD69">
        <v>109.7</v>
      </c>
      <c r="AE69">
        <v>114</v>
      </c>
      <c r="AF69">
        <f t="shared" si="10"/>
        <v>111.85</v>
      </c>
      <c r="AG69">
        <v>120.3</v>
      </c>
      <c r="AH69">
        <v>113.4</v>
      </c>
      <c r="AI69">
        <v>119</v>
      </c>
      <c r="AJ69">
        <f t="shared" si="11"/>
        <v>117.56666666666666</v>
      </c>
    </row>
    <row r="70" spans="1:36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f t="shared" si="8"/>
        <v>121.80714285714285</v>
      </c>
      <c r="S70">
        <v>122.1</v>
      </c>
      <c r="T70">
        <v>118.4</v>
      </c>
      <c r="U70">
        <v>121.6</v>
      </c>
      <c r="V70">
        <f t="shared" si="6"/>
        <v>120.7</v>
      </c>
      <c r="W70">
        <v>122.4</v>
      </c>
      <c r="X70">
        <v>115.5</v>
      </c>
      <c r="Y70">
        <v>117.3</v>
      </c>
      <c r="Z70">
        <f t="shared" si="7"/>
        <v>118.39999999999999</v>
      </c>
      <c r="AA70">
        <v>114.8</v>
      </c>
      <c r="AB70">
        <v>109.1</v>
      </c>
      <c r="AC70">
        <f t="shared" si="9"/>
        <v>111.94999999999999</v>
      </c>
      <c r="AD70">
        <v>110.8</v>
      </c>
      <c r="AE70">
        <v>113.7</v>
      </c>
      <c r="AF70">
        <f t="shared" si="10"/>
        <v>112.25</v>
      </c>
      <c r="AG70">
        <v>119</v>
      </c>
      <c r="AH70">
        <v>113.8</v>
      </c>
      <c r="AI70">
        <v>120.1</v>
      </c>
      <c r="AJ70">
        <f t="shared" si="11"/>
        <v>117.63333333333333</v>
      </c>
    </row>
    <row r="71" spans="1:36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f t="shared" si="8"/>
        <v>120.80714285714285</v>
      </c>
      <c r="S71">
        <v>123.8</v>
      </c>
      <c r="T71">
        <v>120.6</v>
      </c>
      <c r="U71">
        <v>123.3</v>
      </c>
      <c r="V71">
        <f t="shared" si="6"/>
        <v>122.56666666666666</v>
      </c>
      <c r="W71">
        <v>122.9</v>
      </c>
      <c r="X71">
        <v>117.4</v>
      </c>
      <c r="Y71">
        <v>118.2</v>
      </c>
      <c r="Z71">
        <f t="shared" si="7"/>
        <v>119.5</v>
      </c>
      <c r="AA71">
        <v>116.2</v>
      </c>
      <c r="AB71">
        <v>109.4</v>
      </c>
      <c r="AC71">
        <f t="shared" si="9"/>
        <v>112.80000000000001</v>
      </c>
      <c r="AD71">
        <v>111.5</v>
      </c>
      <c r="AE71">
        <v>113.3</v>
      </c>
      <c r="AF71">
        <f t="shared" si="10"/>
        <v>112.4</v>
      </c>
      <c r="AG71">
        <v>117.7</v>
      </c>
      <c r="AH71">
        <v>114.2</v>
      </c>
      <c r="AI71">
        <v>120.3</v>
      </c>
      <c r="AJ71">
        <f t="shared" si="11"/>
        <v>117.39999999999999</v>
      </c>
    </row>
    <row r="72" spans="1:36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f t="shared" si="8"/>
        <v>121.68571428571428</v>
      </c>
      <c r="S72">
        <v>120.7</v>
      </c>
      <c r="T72">
        <v>115.8</v>
      </c>
      <c r="U72">
        <v>120</v>
      </c>
      <c r="V72">
        <f t="shared" si="6"/>
        <v>118.83333333333333</v>
      </c>
      <c r="W72">
        <v>122.9</v>
      </c>
      <c r="X72">
        <v>113</v>
      </c>
      <c r="Y72">
        <v>116.8</v>
      </c>
      <c r="Z72">
        <f t="shared" si="7"/>
        <v>117.56666666666666</v>
      </c>
      <c r="AA72">
        <v>113.2</v>
      </c>
      <c r="AB72">
        <v>110.4</v>
      </c>
      <c r="AC72">
        <f t="shared" si="9"/>
        <v>111.80000000000001</v>
      </c>
      <c r="AD72">
        <v>108.8</v>
      </c>
      <c r="AE72">
        <v>114.3</v>
      </c>
      <c r="AF72">
        <f t="shared" si="10"/>
        <v>111.55</v>
      </c>
      <c r="AG72">
        <v>120.7</v>
      </c>
      <c r="AH72">
        <v>113.4</v>
      </c>
      <c r="AI72">
        <v>118.4</v>
      </c>
      <c r="AJ72">
        <f t="shared" si="11"/>
        <v>117.5</v>
      </c>
    </row>
    <row r="73" spans="1:36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f t="shared" si="8"/>
        <v>121.04999999999998</v>
      </c>
      <c r="S73">
        <v>122.6</v>
      </c>
      <c r="T73">
        <v>118.6</v>
      </c>
      <c r="U73">
        <v>122</v>
      </c>
      <c r="V73">
        <f t="shared" si="6"/>
        <v>121.06666666666666</v>
      </c>
      <c r="W73">
        <v>122.4</v>
      </c>
      <c r="X73">
        <v>115.7</v>
      </c>
      <c r="Y73">
        <v>117.5</v>
      </c>
      <c r="Z73">
        <f t="shared" si="7"/>
        <v>118.53333333333335</v>
      </c>
      <c r="AA73">
        <v>115.1</v>
      </c>
      <c r="AB73">
        <v>109.8</v>
      </c>
      <c r="AC73">
        <f t="shared" si="9"/>
        <v>112.44999999999999</v>
      </c>
      <c r="AD73">
        <v>110.1</v>
      </c>
      <c r="AE73">
        <v>113.9</v>
      </c>
      <c r="AF73">
        <f t="shared" si="10"/>
        <v>112</v>
      </c>
      <c r="AG73">
        <v>119.5</v>
      </c>
      <c r="AH73">
        <v>113.8</v>
      </c>
      <c r="AI73">
        <v>119.4</v>
      </c>
      <c r="AJ73">
        <f t="shared" si="11"/>
        <v>117.56666666666668</v>
      </c>
    </row>
    <row r="74" spans="1:36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f t="shared" si="8"/>
        <v>120.77142857142857</v>
      </c>
      <c r="S74">
        <v>124.4</v>
      </c>
      <c r="T74">
        <v>121.6</v>
      </c>
      <c r="U74">
        <v>124</v>
      </c>
      <c r="V74">
        <f t="shared" si="6"/>
        <v>123.33333333333333</v>
      </c>
      <c r="W74">
        <v>122.4</v>
      </c>
      <c r="X74">
        <v>118.4</v>
      </c>
      <c r="Y74">
        <v>118.9</v>
      </c>
      <c r="Z74">
        <f t="shared" si="7"/>
        <v>119.90000000000002</v>
      </c>
      <c r="AA74">
        <v>116.6</v>
      </c>
      <c r="AB74">
        <v>110.2</v>
      </c>
      <c r="AC74">
        <f t="shared" si="9"/>
        <v>113.4</v>
      </c>
      <c r="AD74">
        <v>111</v>
      </c>
      <c r="AE74">
        <v>114</v>
      </c>
      <c r="AF74">
        <f t="shared" si="10"/>
        <v>112.5</v>
      </c>
      <c r="AG74">
        <v>118.2</v>
      </c>
      <c r="AH74">
        <v>114.5</v>
      </c>
      <c r="AI74">
        <v>120.3</v>
      </c>
      <c r="AJ74">
        <f t="shared" si="11"/>
        <v>117.66666666666667</v>
      </c>
    </row>
    <row r="75" spans="1:36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f t="shared" si="8"/>
        <v>121.59285714285714</v>
      </c>
      <c r="S75">
        <v>121</v>
      </c>
      <c r="T75">
        <v>116.1</v>
      </c>
      <c r="U75">
        <v>120.2</v>
      </c>
      <c r="V75">
        <f t="shared" si="6"/>
        <v>119.10000000000001</v>
      </c>
      <c r="W75">
        <v>123.4</v>
      </c>
      <c r="X75">
        <v>113.4</v>
      </c>
      <c r="Y75">
        <v>117.2</v>
      </c>
      <c r="Z75">
        <f t="shared" si="7"/>
        <v>118</v>
      </c>
      <c r="AA75">
        <v>113.7</v>
      </c>
      <c r="AB75">
        <v>111.4</v>
      </c>
      <c r="AC75">
        <f t="shared" si="9"/>
        <v>112.55000000000001</v>
      </c>
      <c r="AD75">
        <v>107.9</v>
      </c>
      <c r="AE75">
        <v>114.6</v>
      </c>
      <c r="AF75">
        <f t="shared" si="10"/>
        <v>111.25</v>
      </c>
      <c r="AG75">
        <v>120.8</v>
      </c>
      <c r="AH75">
        <v>113.4</v>
      </c>
      <c r="AI75">
        <v>118.5</v>
      </c>
      <c r="AJ75">
        <f t="shared" si="11"/>
        <v>117.56666666666666</v>
      </c>
    </row>
    <row r="76" spans="1:36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f t="shared" si="8"/>
        <v>120.95</v>
      </c>
      <c r="S76">
        <v>123.1</v>
      </c>
      <c r="T76">
        <v>119.3</v>
      </c>
      <c r="U76">
        <v>122.5</v>
      </c>
      <c r="V76">
        <f t="shared" si="6"/>
        <v>121.63333333333333</v>
      </c>
      <c r="W76">
        <v>123.4</v>
      </c>
      <c r="X76">
        <v>116.5</v>
      </c>
      <c r="Y76">
        <v>118.1</v>
      </c>
      <c r="Z76">
        <f t="shared" si="7"/>
        <v>119.33333333333333</v>
      </c>
      <c r="AA76">
        <v>115.5</v>
      </c>
      <c r="AB76">
        <v>110.7</v>
      </c>
      <c r="AC76">
        <f t="shared" si="9"/>
        <v>113.1</v>
      </c>
      <c r="AD76">
        <v>109.4</v>
      </c>
      <c r="AE76">
        <v>114.3</v>
      </c>
      <c r="AF76">
        <f t="shared" si="10"/>
        <v>111.85</v>
      </c>
      <c r="AG76">
        <v>119.7</v>
      </c>
      <c r="AH76">
        <v>114</v>
      </c>
      <c r="AI76">
        <v>119.5</v>
      </c>
      <c r="AJ76">
        <f t="shared" si="11"/>
        <v>117.73333333333333</v>
      </c>
    </row>
    <row r="77" spans="1:36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f t="shared" si="8"/>
        <v>121.05714285714284</v>
      </c>
      <c r="S77">
        <v>125.4</v>
      </c>
      <c r="T77">
        <v>122.7</v>
      </c>
      <c r="U77">
        <v>125</v>
      </c>
      <c r="V77">
        <f t="shared" si="6"/>
        <v>124.36666666666667</v>
      </c>
      <c r="W77">
        <v>124.4</v>
      </c>
      <c r="X77">
        <v>120</v>
      </c>
      <c r="Y77">
        <v>119.6</v>
      </c>
      <c r="Z77">
        <f t="shared" si="7"/>
        <v>121.33333333333333</v>
      </c>
      <c r="AA77">
        <v>117.7</v>
      </c>
      <c r="AB77">
        <v>110.8</v>
      </c>
      <c r="AC77">
        <f t="shared" si="9"/>
        <v>114.25</v>
      </c>
      <c r="AD77">
        <v>110.9</v>
      </c>
      <c r="AE77">
        <v>114.8</v>
      </c>
      <c r="AF77">
        <f t="shared" si="10"/>
        <v>112.85</v>
      </c>
      <c r="AG77">
        <v>118.7</v>
      </c>
      <c r="AH77">
        <v>115</v>
      </c>
      <c r="AI77">
        <v>120.6</v>
      </c>
      <c r="AJ77">
        <f t="shared" si="11"/>
        <v>118.09999999999998</v>
      </c>
    </row>
    <row r="78" spans="1:36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f t="shared" si="8"/>
        <v>121.37142857142858</v>
      </c>
      <c r="S78">
        <v>121.3</v>
      </c>
      <c r="T78">
        <v>116.5</v>
      </c>
      <c r="U78">
        <v>120.6</v>
      </c>
      <c r="V78">
        <f t="shared" si="6"/>
        <v>119.46666666666665</v>
      </c>
      <c r="W78">
        <v>124.4</v>
      </c>
      <c r="X78">
        <v>114</v>
      </c>
      <c r="Y78">
        <v>117.7</v>
      </c>
      <c r="Z78">
        <f t="shared" si="7"/>
        <v>118.7</v>
      </c>
      <c r="AA78">
        <v>114.1</v>
      </c>
      <c r="AB78">
        <v>111.7</v>
      </c>
      <c r="AC78">
        <f t="shared" si="9"/>
        <v>112.9</v>
      </c>
      <c r="AD78">
        <v>106.8</v>
      </c>
      <c r="AE78">
        <v>114.9</v>
      </c>
      <c r="AF78">
        <f t="shared" si="10"/>
        <v>110.85</v>
      </c>
      <c r="AG78">
        <v>120.4</v>
      </c>
      <c r="AH78">
        <v>113.2</v>
      </c>
      <c r="AI78">
        <v>118.7</v>
      </c>
      <c r="AJ78">
        <f t="shared" si="11"/>
        <v>117.43333333333334</v>
      </c>
    </row>
    <row r="79" spans="1:36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f t="shared" si="8"/>
        <v>121.04285714285712</v>
      </c>
      <c r="S79">
        <v>123.8</v>
      </c>
      <c r="T79">
        <v>120.1</v>
      </c>
      <c r="U79">
        <v>123.3</v>
      </c>
      <c r="V79">
        <f t="shared" si="6"/>
        <v>122.39999999999999</v>
      </c>
      <c r="W79">
        <v>124.9</v>
      </c>
      <c r="X79">
        <v>117.7</v>
      </c>
      <c r="Y79">
        <v>118.7</v>
      </c>
      <c r="Z79">
        <f t="shared" si="7"/>
        <v>120.43333333333334</v>
      </c>
      <c r="AA79">
        <v>116.3</v>
      </c>
      <c r="AB79">
        <v>111.2</v>
      </c>
      <c r="AC79">
        <f t="shared" si="9"/>
        <v>113.75</v>
      </c>
      <c r="AD79">
        <v>108.7</v>
      </c>
      <c r="AE79">
        <v>114.9</v>
      </c>
      <c r="AF79">
        <f t="shared" si="10"/>
        <v>111.80000000000001</v>
      </c>
      <c r="AG79">
        <v>119.7</v>
      </c>
      <c r="AH79">
        <v>114.1</v>
      </c>
      <c r="AI79">
        <v>119.7</v>
      </c>
      <c r="AJ79">
        <f t="shared" si="11"/>
        <v>117.83333333333333</v>
      </c>
    </row>
    <row r="80" spans="1:36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f t="shared" si="8"/>
        <v>121.15714285714286</v>
      </c>
      <c r="S80">
        <v>126</v>
      </c>
      <c r="T80">
        <v>122.9</v>
      </c>
      <c r="U80">
        <v>125.5</v>
      </c>
      <c r="V80">
        <f t="shared" si="6"/>
        <v>124.8</v>
      </c>
      <c r="W80">
        <v>124.9</v>
      </c>
      <c r="X80">
        <v>120.6</v>
      </c>
      <c r="Y80">
        <v>120.2</v>
      </c>
      <c r="Z80">
        <f t="shared" si="7"/>
        <v>121.89999999999999</v>
      </c>
      <c r="AA80">
        <v>118.2</v>
      </c>
      <c r="AB80">
        <v>110.8</v>
      </c>
      <c r="AC80">
        <f t="shared" si="9"/>
        <v>114.5</v>
      </c>
      <c r="AD80">
        <v>111.6</v>
      </c>
      <c r="AE80">
        <v>115.5</v>
      </c>
      <c r="AF80">
        <f t="shared" si="10"/>
        <v>113.55</v>
      </c>
      <c r="AG80">
        <v>119.4</v>
      </c>
      <c r="AH80">
        <v>115.5</v>
      </c>
      <c r="AI80">
        <v>121.1</v>
      </c>
      <c r="AJ80">
        <f t="shared" si="11"/>
        <v>118.66666666666667</v>
      </c>
    </row>
    <row r="81" spans="1:36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f t="shared" si="8"/>
        <v>121.20000000000002</v>
      </c>
      <c r="S81">
        <v>121.7</v>
      </c>
      <c r="T81">
        <v>116.9</v>
      </c>
      <c r="U81">
        <v>120.9</v>
      </c>
      <c r="V81">
        <f t="shared" si="6"/>
        <v>119.83333333333333</v>
      </c>
      <c r="W81">
        <v>125.6</v>
      </c>
      <c r="X81">
        <v>114.4</v>
      </c>
      <c r="Y81">
        <v>118</v>
      </c>
      <c r="Z81">
        <f t="shared" si="7"/>
        <v>119.33333333333333</v>
      </c>
      <c r="AA81">
        <v>114.3</v>
      </c>
      <c r="AB81">
        <v>111.3</v>
      </c>
      <c r="AC81">
        <f t="shared" si="9"/>
        <v>112.8</v>
      </c>
      <c r="AD81">
        <v>108.4</v>
      </c>
      <c r="AE81">
        <v>115.4</v>
      </c>
      <c r="AF81">
        <f t="shared" si="10"/>
        <v>111.9</v>
      </c>
      <c r="AG81">
        <v>120.6</v>
      </c>
      <c r="AH81">
        <v>113.8</v>
      </c>
      <c r="AI81">
        <v>119.1</v>
      </c>
      <c r="AJ81">
        <f t="shared" si="11"/>
        <v>117.83333333333333</v>
      </c>
    </row>
    <row r="82" spans="1:36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f t="shared" si="8"/>
        <v>121.0642857142857</v>
      </c>
      <c r="S82">
        <v>124.3</v>
      </c>
      <c r="T82">
        <v>120.4</v>
      </c>
      <c r="U82">
        <v>123.7</v>
      </c>
      <c r="V82">
        <f t="shared" si="6"/>
        <v>122.8</v>
      </c>
      <c r="W82">
        <v>125.6</v>
      </c>
      <c r="X82">
        <v>118.3</v>
      </c>
      <c r="Y82">
        <v>119.2</v>
      </c>
      <c r="Z82">
        <f t="shared" si="7"/>
        <v>121.03333333333332</v>
      </c>
      <c r="AA82">
        <v>116.7</v>
      </c>
      <c r="AB82">
        <v>111</v>
      </c>
      <c r="AC82">
        <f t="shared" si="9"/>
        <v>113.85</v>
      </c>
      <c r="AD82">
        <v>109.9</v>
      </c>
      <c r="AE82">
        <v>115.4</v>
      </c>
      <c r="AF82">
        <f t="shared" si="10"/>
        <v>112.65</v>
      </c>
      <c r="AG82">
        <v>120.1</v>
      </c>
      <c r="AH82">
        <v>114.7</v>
      </c>
      <c r="AI82">
        <v>120.2</v>
      </c>
      <c r="AJ82">
        <f t="shared" si="11"/>
        <v>118.33333333333333</v>
      </c>
    </row>
    <row r="83" spans="1:36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f t="shared" si="8"/>
        <v>121.63571428571429</v>
      </c>
      <c r="S83">
        <v>126.4</v>
      </c>
      <c r="T83">
        <v>123.3</v>
      </c>
      <c r="U83">
        <v>126</v>
      </c>
      <c r="V83">
        <f t="shared" si="6"/>
        <v>125.23333333333333</v>
      </c>
      <c r="W83">
        <v>126</v>
      </c>
      <c r="X83">
        <v>121.2</v>
      </c>
      <c r="Y83">
        <v>120.9</v>
      </c>
      <c r="Z83">
        <f t="shared" si="7"/>
        <v>122.7</v>
      </c>
      <c r="AA83">
        <v>118.6</v>
      </c>
      <c r="AB83">
        <v>111.6</v>
      </c>
      <c r="AC83">
        <f t="shared" si="9"/>
        <v>115.1</v>
      </c>
      <c r="AD83">
        <v>111.9</v>
      </c>
      <c r="AE83">
        <v>116.2</v>
      </c>
      <c r="AF83">
        <f t="shared" si="10"/>
        <v>114.05000000000001</v>
      </c>
      <c r="AG83">
        <v>119.9</v>
      </c>
      <c r="AH83">
        <v>116</v>
      </c>
      <c r="AI83">
        <v>121.5</v>
      </c>
      <c r="AJ83">
        <f t="shared" si="11"/>
        <v>119.13333333333333</v>
      </c>
    </row>
    <row r="84" spans="1:36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f t="shared" si="8"/>
        <v>121.87142857142855</v>
      </c>
      <c r="S84">
        <v>122.1</v>
      </c>
      <c r="T84">
        <v>117.2</v>
      </c>
      <c r="U84">
        <v>121.3</v>
      </c>
      <c r="V84">
        <f t="shared" si="6"/>
        <v>120.2</v>
      </c>
      <c r="W84">
        <v>126</v>
      </c>
      <c r="X84">
        <v>114.7</v>
      </c>
      <c r="Y84">
        <v>118.4</v>
      </c>
      <c r="Z84">
        <f t="shared" si="7"/>
        <v>119.7</v>
      </c>
      <c r="AA84">
        <v>114.6</v>
      </c>
      <c r="AB84">
        <v>111.8</v>
      </c>
      <c r="AC84">
        <f t="shared" si="9"/>
        <v>113.19999999999999</v>
      </c>
      <c r="AD84">
        <v>108.4</v>
      </c>
      <c r="AE84">
        <v>115.6</v>
      </c>
      <c r="AF84">
        <f t="shared" si="10"/>
        <v>112</v>
      </c>
      <c r="AG84">
        <v>121.7</v>
      </c>
      <c r="AH84">
        <v>114.2</v>
      </c>
      <c r="AI84">
        <v>119.7</v>
      </c>
      <c r="AJ84">
        <f t="shared" si="11"/>
        <v>118.53333333333335</v>
      </c>
    </row>
    <row r="85" spans="1:36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f t="shared" si="8"/>
        <v>121.61428571428573</v>
      </c>
      <c r="S85">
        <v>124.7</v>
      </c>
      <c r="T85">
        <v>120.8</v>
      </c>
      <c r="U85">
        <v>124.1</v>
      </c>
      <c r="V85">
        <f t="shared" si="6"/>
        <v>123.2</v>
      </c>
      <c r="W85">
        <v>125.5</v>
      </c>
      <c r="X85">
        <v>118.7</v>
      </c>
      <c r="Y85">
        <v>119.7</v>
      </c>
      <c r="Z85">
        <f t="shared" si="7"/>
        <v>121.3</v>
      </c>
      <c r="AA85">
        <v>117.1</v>
      </c>
      <c r="AB85">
        <v>111.7</v>
      </c>
      <c r="AC85">
        <f t="shared" si="9"/>
        <v>114.4</v>
      </c>
      <c r="AD85">
        <v>110.1</v>
      </c>
      <c r="AE85">
        <v>115.9</v>
      </c>
      <c r="AF85">
        <f t="shared" si="10"/>
        <v>113</v>
      </c>
      <c r="AG85">
        <v>121</v>
      </c>
      <c r="AH85">
        <v>115.1</v>
      </c>
      <c r="AI85">
        <v>120.7</v>
      </c>
      <c r="AJ85">
        <f t="shared" si="11"/>
        <v>118.93333333333334</v>
      </c>
    </row>
    <row r="86" spans="1:36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f t="shared" si="8"/>
        <v>122.45714285714287</v>
      </c>
      <c r="S86">
        <v>127.3</v>
      </c>
      <c r="T86">
        <v>124.1</v>
      </c>
      <c r="U86">
        <v>126.8</v>
      </c>
      <c r="V86">
        <f t="shared" si="6"/>
        <v>126.06666666666666</v>
      </c>
      <c r="W86">
        <v>125.5</v>
      </c>
      <c r="X86">
        <v>121.9</v>
      </c>
      <c r="Y86">
        <v>121.5</v>
      </c>
      <c r="Z86">
        <f t="shared" si="7"/>
        <v>122.96666666666665</v>
      </c>
      <c r="AA86">
        <v>119.4</v>
      </c>
      <c r="AB86">
        <v>112.3</v>
      </c>
      <c r="AC86">
        <f t="shared" si="9"/>
        <v>115.85</v>
      </c>
      <c r="AD86">
        <v>113.3</v>
      </c>
      <c r="AE86">
        <v>116.7</v>
      </c>
      <c r="AF86">
        <f t="shared" si="10"/>
        <v>115</v>
      </c>
      <c r="AG86">
        <v>120.5</v>
      </c>
      <c r="AH86">
        <v>116.9</v>
      </c>
      <c r="AI86">
        <v>122.4</v>
      </c>
      <c r="AJ86">
        <f t="shared" si="11"/>
        <v>119.93333333333334</v>
      </c>
    </row>
    <row r="87" spans="1:36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f t="shared" si="8"/>
        <v>123.58571428571429</v>
      </c>
      <c r="S87">
        <v>122.4</v>
      </c>
      <c r="T87">
        <v>117.4</v>
      </c>
      <c r="U87">
        <v>121.6</v>
      </c>
      <c r="V87">
        <f t="shared" si="6"/>
        <v>120.46666666666665</v>
      </c>
      <c r="W87">
        <v>126.4</v>
      </c>
      <c r="X87">
        <v>114.9</v>
      </c>
      <c r="Y87">
        <v>118.7</v>
      </c>
      <c r="Z87">
        <f t="shared" si="7"/>
        <v>120</v>
      </c>
      <c r="AA87">
        <v>114.9</v>
      </c>
      <c r="AB87">
        <v>112.4</v>
      </c>
      <c r="AC87">
        <f t="shared" si="9"/>
        <v>113.65</v>
      </c>
      <c r="AD87">
        <v>110.8</v>
      </c>
      <c r="AE87">
        <v>116</v>
      </c>
      <c r="AF87">
        <f t="shared" si="10"/>
        <v>113.4</v>
      </c>
      <c r="AG87">
        <v>122</v>
      </c>
      <c r="AH87">
        <v>115.2</v>
      </c>
      <c r="AI87">
        <v>120.7</v>
      </c>
      <c r="AJ87">
        <f t="shared" si="11"/>
        <v>119.3</v>
      </c>
    </row>
    <row r="88" spans="1:36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f t="shared" si="8"/>
        <v>122.73571428571429</v>
      </c>
      <c r="S88">
        <v>125.4</v>
      </c>
      <c r="T88">
        <v>121.3</v>
      </c>
      <c r="U88">
        <v>124.7</v>
      </c>
      <c r="V88">
        <f t="shared" si="6"/>
        <v>123.8</v>
      </c>
      <c r="W88">
        <v>126.4</v>
      </c>
      <c r="X88">
        <v>119.2</v>
      </c>
      <c r="Y88">
        <v>120.2</v>
      </c>
      <c r="Z88">
        <f t="shared" si="7"/>
        <v>121.93333333333334</v>
      </c>
      <c r="AA88">
        <v>117.7</v>
      </c>
      <c r="AB88">
        <v>112.3</v>
      </c>
      <c r="AC88">
        <f t="shared" si="9"/>
        <v>115</v>
      </c>
      <c r="AD88">
        <v>112</v>
      </c>
      <c r="AE88">
        <v>116.3</v>
      </c>
      <c r="AF88">
        <f t="shared" si="10"/>
        <v>114.15</v>
      </c>
      <c r="AG88">
        <v>121.4</v>
      </c>
      <c r="AH88">
        <v>116.1</v>
      </c>
      <c r="AI88">
        <v>121.6</v>
      </c>
      <c r="AJ88">
        <f t="shared" si="11"/>
        <v>119.7</v>
      </c>
    </row>
    <row r="89" spans="1:36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f t="shared" si="8"/>
        <v>124.72142857142856</v>
      </c>
      <c r="S89">
        <v>128.4</v>
      </c>
      <c r="T89">
        <v>125.1</v>
      </c>
      <c r="U89">
        <v>128</v>
      </c>
      <c r="V89">
        <f t="shared" si="6"/>
        <v>127.16666666666667</v>
      </c>
      <c r="W89">
        <v>127.3</v>
      </c>
      <c r="X89">
        <v>122.6</v>
      </c>
      <c r="Y89">
        <v>122.8</v>
      </c>
      <c r="Z89">
        <f t="shared" si="7"/>
        <v>124.23333333333333</v>
      </c>
      <c r="AA89">
        <v>120.4</v>
      </c>
      <c r="AB89">
        <v>113</v>
      </c>
      <c r="AC89">
        <f t="shared" si="9"/>
        <v>116.7</v>
      </c>
      <c r="AD89">
        <v>114.2</v>
      </c>
      <c r="AE89">
        <v>117.9</v>
      </c>
      <c r="AF89">
        <f t="shared" si="10"/>
        <v>116.05000000000001</v>
      </c>
      <c r="AG89">
        <v>122</v>
      </c>
      <c r="AH89">
        <v>117.9</v>
      </c>
      <c r="AI89">
        <v>124.1</v>
      </c>
      <c r="AJ89">
        <f t="shared" si="11"/>
        <v>121.33333333333333</v>
      </c>
    </row>
    <row r="90" spans="1:36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f t="shared" si="8"/>
        <v>126.33571428571427</v>
      </c>
      <c r="S90">
        <v>123.2</v>
      </c>
      <c r="T90">
        <v>117.6</v>
      </c>
      <c r="U90">
        <v>122.3</v>
      </c>
      <c r="V90">
        <f t="shared" si="6"/>
        <v>121.03333333333335</v>
      </c>
      <c r="W90">
        <v>127.3</v>
      </c>
      <c r="X90">
        <v>115.1</v>
      </c>
      <c r="Y90">
        <v>119.2</v>
      </c>
      <c r="Z90">
        <f t="shared" si="7"/>
        <v>120.53333333333332</v>
      </c>
      <c r="AA90">
        <v>115.4</v>
      </c>
      <c r="AB90">
        <v>112.5</v>
      </c>
      <c r="AC90">
        <f t="shared" si="9"/>
        <v>113.95</v>
      </c>
      <c r="AD90">
        <v>111.7</v>
      </c>
      <c r="AE90">
        <v>116.2</v>
      </c>
      <c r="AF90">
        <f t="shared" si="10"/>
        <v>113.95</v>
      </c>
      <c r="AG90">
        <v>123.8</v>
      </c>
      <c r="AH90">
        <v>116</v>
      </c>
      <c r="AI90">
        <v>121.7</v>
      </c>
      <c r="AJ90">
        <f t="shared" si="11"/>
        <v>120.5</v>
      </c>
    </row>
    <row r="91" spans="1:36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f t="shared" si="8"/>
        <v>125.19285714285715</v>
      </c>
      <c r="S91">
        <v>126.4</v>
      </c>
      <c r="T91">
        <v>122</v>
      </c>
      <c r="U91">
        <v>125.7</v>
      </c>
      <c r="V91">
        <f t="shared" si="6"/>
        <v>124.7</v>
      </c>
      <c r="W91">
        <v>127.9</v>
      </c>
      <c r="X91">
        <v>119.8</v>
      </c>
      <c r="Y91">
        <v>121.1</v>
      </c>
      <c r="Z91">
        <f t="shared" si="7"/>
        <v>122.93333333333332</v>
      </c>
      <c r="AA91">
        <v>118.5</v>
      </c>
      <c r="AB91">
        <v>112.8</v>
      </c>
      <c r="AC91">
        <f t="shared" si="9"/>
        <v>115.65</v>
      </c>
      <c r="AD91">
        <v>112.9</v>
      </c>
      <c r="AE91">
        <v>116.9</v>
      </c>
      <c r="AF91">
        <f t="shared" si="10"/>
        <v>114.9</v>
      </c>
      <c r="AG91">
        <v>123.1</v>
      </c>
      <c r="AH91">
        <v>117</v>
      </c>
      <c r="AI91">
        <v>123</v>
      </c>
      <c r="AJ91">
        <f t="shared" si="11"/>
        <v>121.03333333333335</v>
      </c>
    </row>
    <row r="92" spans="1:36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f t="shared" si="8"/>
        <v>125.33571428571429</v>
      </c>
      <c r="S92">
        <v>128.80000000000001</v>
      </c>
      <c r="T92">
        <v>125.5</v>
      </c>
      <c r="U92">
        <v>128.30000000000001</v>
      </c>
      <c r="V92">
        <f t="shared" si="6"/>
        <v>127.53333333333335</v>
      </c>
      <c r="W92">
        <v>127.9</v>
      </c>
      <c r="X92">
        <v>123</v>
      </c>
      <c r="Y92">
        <v>123</v>
      </c>
      <c r="Z92">
        <f t="shared" si="7"/>
        <v>124.63333333333333</v>
      </c>
      <c r="AA92">
        <v>120.8</v>
      </c>
      <c r="AB92">
        <v>112.7</v>
      </c>
      <c r="AC92">
        <f t="shared" si="9"/>
        <v>116.75</v>
      </c>
      <c r="AD92">
        <v>114.1</v>
      </c>
      <c r="AE92">
        <v>118</v>
      </c>
      <c r="AF92">
        <f t="shared" si="10"/>
        <v>116.05</v>
      </c>
      <c r="AG92">
        <v>122.9</v>
      </c>
      <c r="AH92">
        <v>118.1</v>
      </c>
      <c r="AI92">
        <v>124.7</v>
      </c>
      <c r="AJ92">
        <f t="shared" si="11"/>
        <v>121.89999999999999</v>
      </c>
    </row>
    <row r="93" spans="1:36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f t="shared" si="8"/>
        <v>126.85714285714285</v>
      </c>
      <c r="S93">
        <v>123.5</v>
      </c>
      <c r="T93">
        <v>117.9</v>
      </c>
      <c r="U93">
        <v>122.7</v>
      </c>
      <c r="V93">
        <f t="shared" si="6"/>
        <v>121.36666666666667</v>
      </c>
      <c r="W93">
        <v>128.69999999999999</v>
      </c>
      <c r="X93">
        <v>115.3</v>
      </c>
      <c r="Y93">
        <v>119.5</v>
      </c>
      <c r="Z93">
        <f t="shared" si="7"/>
        <v>121.16666666666667</v>
      </c>
      <c r="AA93">
        <v>116</v>
      </c>
      <c r="AB93">
        <v>111.7</v>
      </c>
      <c r="AC93">
        <f t="shared" si="9"/>
        <v>113.85</v>
      </c>
      <c r="AD93">
        <v>111.5</v>
      </c>
      <c r="AE93">
        <v>116.6</v>
      </c>
      <c r="AF93">
        <f t="shared" si="10"/>
        <v>114.05</v>
      </c>
      <c r="AG93">
        <v>125.4</v>
      </c>
      <c r="AH93">
        <v>116.3</v>
      </c>
      <c r="AI93">
        <v>122.4</v>
      </c>
      <c r="AJ93">
        <f t="shared" si="11"/>
        <v>121.36666666666667</v>
      </c>
    </row>
    <row r="94" spans="1:36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f t="shared" si="8"/>
        <v>125.78571428571431</v>
      </c>
      <c r="S94">
        <v>126.7</v>
      </c>
      <c r="T94">
        <v>122.3</v>
      </c>
      <c r="U94">
        <v>126.1</v>
      </c>
      <c r="V94">
        <f t="shared" si="6"/>
        <v>125.03333333333335</v>
      </c>
      <c r="W94">
        <v>128.69999999999999</v>
      </c>
      <c r="X94">
        <v>120.1</v>
      </c>
      <c r="Y94">
        <v>121.3</v>
      </c>
      <c r="Z94">
        <f t="shared" si="7"/>
        <v>123.36666666666666</v>
      </c>
      <c r="AA94">
        <v>119</v>
      </c>
      <c r="AB94">
        <v>112.3</v>
      </c>
      <c r="AC94">
        <f t="shared" si="9"/>
        <v>115.65</v>
      </c>
      <c r="AD94">
        <v>112.7</v>
      </c>
      <c r="AE94">
        <v>117.2</v>
      </c>
      <c r="AF94">
        <f t="shared" si="10"/>
        <v>114.95</v>
      </c>
      <c r="AG94">
        <v>124.4</v>
      </c>
      <c r="AH94">
        <v>117.2</v>
      </c>
      <c r="AI94">
        <v>123.6</v>
      </c>
      <c r="AJ94">
        <f t="shared" si="11"/>
        <v>121.73333333333335</v>
      </c>
    </row>
    <row r="95" spans="1:36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f t="shared" si="8"/>
        <v>126.90714285714284</v>
      </c>
      <c r="S95">
        <v>129.5</v>
      </c>
      <c r="T95">
        <v>126.3</v>
      </c>
      <c r="U95">
        <v>129</v>
      </c>
      <c r="V95">
        <f t="shared" si="6"/>
        <v>128.26666666666668</v>
      </c>
      <c r="W95">
        <v>129.1</v>
      </c>
      <c r="X95">
        <v>123.8</v>
      </c>
      <c r="Y95">
        <v>123.7</v>
      </c>
      <c r="Z95">
        <f t="shared" si="7"/>
        <v>125.53333333333332</v>
      </c>
      <c r="AA95">
        <v>121.1</v>
      </c>
      <c r="AB95">
        <v>112.5</v>
      </c>
      <c r="AC95">
        <f t="shared" si="9"/>
        <v>116.8</v>
      </c>
      <c r="AD95">
        <v>113.6</v>
      </c>
      <c r="AE95">
        <v>118.5</v>
      </c>
      <c r="AF95">
        <f t="shared" si="10"/>
        <v>116.05</v>
      </c>
      <c r="AG95">
        <v>123.6</v>
      </c>
      <c r="AH95">
        <v>118.2</v>
      </c>
      <c r="AI95">
        <v>126.1</v>
      </c>
      <c r="AJ95">
        <f t="shared" si="11"/>
        <v>122.63333333333333</v>
      </c>
    </row>
    <row r="96" spans="1:36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f t="shared" si="8"/>
        <v>128.07857142857142</v>
      </c>
      <c r="S96">
        <v>123.7</v>
      </c>
      <c r="T96">
        <v>118.2</v>
      </c>
      <c r="U96">
        <v>122.9</v>
      </c>
      <c r="V96">
        <f t="shared" si="6"/>
        <v>121.60000000000001</v>
      </c>
      <c r="W96">
        <v>129.1</v>
      </c>
      <c r="X96">
        <v>115.3</v>
      </c>
      <c r="Y96">
        <v>120</v>
      </c>
      <c r="Z96">
        <f t="shared" si="7"/>
        <v>121.46666666666665</v>
      </c>
      <c r="AA96">
        <v>116.6</v>
      </c>
      <c r="AB96">
        <v>112</v>
      </c>
      <c r="AC96">
        <f t="shared" si="9"/>
        <v>114.3</v>
      </c>
      <c r="AD96">
        <v>109.9</v>
      </c>
      <c r="AE96">
        <v>117.2</v>
      </c>
      <c r="AF96">
        <f t="shared" si="10"/>
        <v>113.55000000000001</v>
      </c>
      <c r="AG96">
        <v>126.2</v>
      </c>
      <c r="AH96">
        <v>116.2</v>
      </c>
      <c r="AI96">
        <v>123.2</v>
      </c>
      <c r="AJ96">
        <f t="shared" si="11"/>
        <v>121.86666666666667</v>
      </c>
    </row>
    <row r="97" spans="1:36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f t="shared" si="8"/>
        <v>127.2</v>
      </c>
      <c r="S97">
        <v>127.2</v>
      </c>
      <c r="T97">
        <v>122.9</v>
      </c>
      <c r="U97">
        <v>126.6</v>
      </c>
      <c r="V97">
        <f t="shared" si="6"/>
        <v>125.56666666666668</v>
      </c>
      <c r="W97">
        <v>128.5</v>
      </c>
      <c r="X97">
        <v>120.6</v>
      </c>
      <c r="Y97">
        <v>122</v>
      </c>
      <c r="Z97">
        <f t="shared" si="7"/>
        <v>123.7</v>
      </c>
      <c r="AA97">
        <v>119.4</v>
      </c>
      <c r="AB97">
        <v>112.3</v>
      </c>
      <c r="AC97">
        <f t="shared" si="9"/>
        <v>115.85</v>
      </c>
      <c r="AD97">
        <v>111.7</v>
      </c>
      <c r="AE97">
        <v>117.8</v>
      </c>
      <c r="AF97">
        <f t="shared" si="10"/>
        <v>114.75</v>
      </c>
      <c r="AG97">
        <v>125.1</v>
      </c>
      <c r="AH97">
        <v>117.2</v>
      </c>
      <c r="AI97">
        <v>124.8</v>
      </c>
      <c r="AJ97">
        <f t="shared" si="11"/>
        <v>122.36666666666667</v>
      </c>
    </row>
    <row r="98" spans="1:36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f t="shared" si="8"/>
        <v>127.75714285714287</v>
      </c>
      <c r="S98">
        <v>130.4</v>
      </c>
      <c r="T98">
        <v>126.8</v>
      </c>
      <c r="U98">
        <v>129.9</v>
      </c>
      <c r="V98">
        <f t="shared" si="6"/>
        <v>129.03333333333333</v>
      </c>
      <c r="W98">
        <v>128.5</v>
      </c>
      <c r="X98">
        <v>123.7</v>
      </c>
      <c r="Y98">
        <v>124.5</v>
      </c>
      <c r="Z98">
        <f t="shared" si="7"/>
        <v>125.56666666666666</v>
      </c>
      <c r="AA98">
        <v>121.4</v>
      </c>
      <c r="AB98">
        <v>113.7</v>
      </c>
      <c r="AC98">
        <f t="shared" si="9"/>
        <v>117.55000000000001</v>
      </c>
      <c r="AD98">
        <v>113.8</v>
      </c>
      <c r="AE98">
        <v>119.6</v>
      </c>
      <c r="AF98">
        <f t="shared" si="10"/>
        <v>116.69999999999999</v>
      </c>
      <c r="AG98">
        <v>124.5</v>
      </c>
      <c r="AH98">
        <v>118.8</v>
      </c>
      <c r="AI98">
        <v>127</v>
      </c>
      <c r="AJ98">
        <f t="shared" si="11"/>
        <v>123.43333333333334</v>
      </c>
    </row>
    <row r="99" spans="1:36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f t="shared" si="8"/>
        <v>128.53571428571428</v>
      </c>
      <c r="S99">
        <v>124</v>
      </c>
      <c r="T99">
        <v>118.6</v>
      </c>
      <c r="U99">
        <v>123.2</v>
      </c>
      <c r="V99">
        <f t="shared" si="6"/>
        <v>121.93333333333334</v>
      </c>
      <c r="W99">
        <v>129.6</v>
      </c>
      <c r="X99">
        <v>115.1</v>
      </c>
      <c r="Y99">
        <v>120.4</v>
      </c>
      <c r="Z99">
        <f t="shared" si="7"/>
        <v>121.7</v>
      </c>
      <c r="AA99">
        <v>117.1</v>
      </c>
      <c r="AB99">
        <v>112.9</v>
      </c>
      <c r="AC99">
        <f t="shared" si="9"/>
        <v>115</v>
      </c>
      <c r="AD99">
        <v>109.1</v>
      </c>
      <c r="AE99">
        <v>117.3</v>
      </c>
      <c r="AF99">
        <f t="shared" si="10"/>
        <v>113.19999999999999</v>
      </c>
      <c r="AG99">
        <v>126.5</v>
      </c>
      <c r="AH99">
        <v>116.2</v>
      </c>
      <c r="AI99">
        <v>123.5</v>
      </c>
      <c r="AJ99">
        <f t="shared" si="11"/>
        <v>122.06666666666666</v>
      </c>
    </row>
    <row r="100" spans="1:36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f t="shared" si="8"/>
        <v>127.87857142857145</v>
      </c>
      <c r="S100">
        <v>127.9</v>
      </c>
      <c r="T100">
        <v>123.4</v>
      </c>
      <c r="U100">
        <v>127.2</v>
      </c>
      <c r="V100">
        <f t="shared" si="6"/>
        <v>126.16666666666667</v>
      </c>
      <c r="W100">
        <v>129.6</v>
      </c>
      <c r="X100">
        <v>120.4</v>
      </c>
      <c r="Y100">
        <v>122.6</v>
      </c>
      <c r="Z100">
        <f t="shared" si="7"/>
        <v>124.2</v>
      </c>
      <c r="AA100">
        <v>119.8</v>
      </c>
      <c r="AB100">
        <v>113.4</v>
      </c>
      <c r="AC100">
        <f t="shared" si="9"/>
        <v>116.6</v>
      </c>
      <c r="AD100">
        <v>111.3</v>
      </c>
      <c r="AE100">
        <v>118.3</v>
      </c>
      <c r="AF100">
        <f t="shared" si="10"/>
        <v>114.8</v>
      </c>
      <c r="AG100">
        <v>125.7</v>
      </c>
      <c r="AH100">
        <v>117.5</v>
      </c>
      <c r="AI100">
        <v>125.4</v>
      </c>
      <c r="AJ100">
        <f t="shared" si="11"/>
        <v>122.86666666666667</v>
      </c>
    </row>
    <row r="101" spans="1:36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f t="shared" si="8"/>
        <v>129.00714285714284</v>
      </c>
      <c r="S101">
        <v>131.1</v>
      </c>
      <c r="T101">
        <v>127.3</v>
      </c>
      <c r="U101">
        <v>130.6</v>
      </c>
      <c r="V101">
        <f t="shared" si="6"/>
        <v>129.66666666666666</v>
      </c>
      <c r="W101">
        <v>130.5</v>
      </c>
      <c r="X101">
        <v>124.4</v>
      </c>
      <c r="Y101">
        <v>125.1</v>
      </c>
      <c r="Z101">
        <f t="shared" si="7"/>
        <v>126.66666666666667</v>
      </c>
      <c r="AA101">
        <v>122</v>
      </c>
      <c r="AB101">
        <v>114.2</v>
      </c>
      <c r="AC101">
        <f t="shared" si="9"/>
        <v>118.1</v>
      </c>
      <c r="AD101">
        <v>113.8</v>
      </c>
      <c r="AE101">
        <v>120.1</v>
      </c>
      <c r="AF101">
        <f t="shared" si="10"/>
        <v>116.94999999999999</v>
      </c>
      <c r="AG101">
        <v>125.1</v>
      </c>
      <c r="AH101">
        <v>119.2</v>
      </c>
      <c r="AI101">
        <v>127.7</v>
      </c>
      <c r="AJ101">
        <f t="shared" si="11"/>
        <v>124</v>
      </c>
    </row>
    <row r="102" spans="1:36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f t="shared" si="8"/>
        <v>130.57857142857145</v>
      </c>
      <c r="S102">
        <v>124.4</v>
      </c>
      <c r="T102">
        <v>118.8</v>
      </c>
      <c r="U102">
        <v>123.6</v>
      </c>
      <c r="V102">
        <f t="shared" si="6"/>
        <v>122.26666666666665</v>
      </c>
      <c r="W102">
        <v>130.5</v>
      </c>
      <c r="X102">
        <v>114.9</v>
      </c>
      <c r="Y102">
        <v>120.7</v>
      </c>
      <c r="Z102">
        <f t="shared" si="7"/>
        <v>122.03333333333335</v>
      </c>
      <c r="AA102">
        <v>117.7</v>
      </c>
      <c r="AB102">
        <v>113.5</v>
      </c>
      <c r="AC102">
        <f t="shared" si="9"/>
        <v>115.6</v>
      </c>
      <c r="AD102">
        <v>109.3</v>
      </c>
      <c r="AE102">
        <v>117.7</v>
      </c>
      <c r="AF102">
        <f t="shared" si="10"/>
        <v>113.5</v>
      </c>
      <c r="AG102">
        <v>126.5</v>
      </c>
      <c r="AH102">
        <v>116.5</v>
      </c>
      <c r="AI102">
        <v>124.2</v>
      </c>
      <c r="AJ102">
        <f t="shared" si="11"/>
        <v>122.39999999999999</v>
      </c>
    </row>
    <row r="103" spans="1:36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f t="shared" si="8"/>
        <v>129.39285714285714</v>
      </c>
      <c r="S103">
        <v>128.5</v>
      </c>
      <c r="T103">
        <v>123.8</v>
      </c>
      <c r="U103">
        <v>127.8</v>
      </c>
      <c r="V103">
        <f t="shared" si="6"/>
        <v>126.7</v>
      </c>
      <c r="W103">
        <v>131.1</v>
      </c>
      <c r="X103">
        <v>120.8</v>
      </c>
      <c r="Y103">
        <v>123</v>
      </c>
      <c r="Z103">
        <f t="shared" si="7"/>
        <v>124.96666666666665</v>
      </c>
      <c r="AA103">
        <v>120.4</v>
      </c>
      <c r="AB103">
        <v>113.9</v>
      </c>
      <c r="AC103">
        <f t="shared" si="9"/>
        <v>117.15</v>
      </c>
      <c r="AD103">
        <v>111.4</v>
      </c>
      <c r="AE103">
        <v>118.7</v>
      </c>
      <c r="AF103">
        <f t="shared" si="10"/>
        <v>115.05000000000001</v>
      </c>
      <c r="AG103">
        <v>125.9</v>
      </c>
      <c r="AH103">
        <v>117.9</v>
      </c>
      <c r="AI103">
        <v>126.1</v>
      </c>
      <c r="AJ103">
        <f t="shared" si="11"/>
        <v>123.3</v>
      </c>
    </row>
    <row r="104" spans="1:36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f t="shared" si="8"/>
        <v>129.89285714285714</v>
      </c>
      <c r="S104">
        <v>132.1</v>
      </c>
      <c r="T104">
        <v>128.19999999999999</v>
      </c>
      <c r="U104">
        <v>131.5</v>
      </c>
      <c r="V104">
        <f t="shared" si="6"/>
        <v>130.6</v>
      </c>
      <c r="W104">
        <v>131.1</v>
      </c>
      <c r="X104">
        <v>125.6</v>
      </c>
      <c r="Y104">
        <v>125.6</v>
      </c>
      <c r="Z104">
        <f t="shared" si="7"/>
        <v>127.43333333333332</v>
      </c>
      <c r="AA104">
        <v>122.6</v>
      </c>
      <c r="AB104">
        <v>114.2</v>
      </c>
      <c r="AC104">
        <f t="shared" si="9"/>
        <v>118.4</v>
      </c>
      <c r="AD104">
        <v>114</v>
      </c>
      <c r="AE104">
        <v>120.9</v>
      </c>
      <c r="AF104">
        <f t="shared" si="10"/>
        <v>117.45</v>
      </c>
      <c r="AG104">
        <v>125.8</v>
      </c>
      <c r="AH104">
        <v>119.6</v>
      </c>
      <c r="AI104">
        <v>128.30000000000001</v>
      </c>
      <c r="AJ104">
        <f t="shared" si="11"/>
        <v>124.56666666666666</v>
      </c>
    </row>
    <row r="105" spans="1:36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f t="shared" si="8"/>
        <v>131.8642857142857</v>
      </c>
      <c r="S105">
        <v>125</v>
      </c>
      <c r="T105">
        <v>119.3</v>
      </c>
      <c r="U105">
        <v>124.2</v>
      </c>
      <c r="V105">
        <f t="shared" si="6"/>
        <v>122.83333333333333</v>
      </c>
      <c r="W105">
        <v>131.69999999999999</v>
      </c>
      <c r="X105">
        <v>115.1</v>
      </c>
      <c r="Y105">
        <v>121</v>
      </c>
      <c r="Z105">
        <f t="shared" si="7"/>
        <v>122.59999999999998</v>
      </c>
      <c r="AA105">
        <v>118.1</v>
      </c>
      <c r="AB105">
        <v>113.3</v>
      </c>
      <c r="AC105">
        <f t="shared" si="9"/>
        <v>115.69999999999999</v>
      </c>
      <c r="AD105">
        <v>109.3</v>
      </c>
      <c r="AE105">
        <v>117.9</v>
      </c>
      <c r="AF105">
        <f t="shared" si="10"/>
        <v>113.6</v>
      </c>
      <c r="AG105">
        <v>126.6</v>
      </c>
      <c r="AH105">
        <v>116.6</v>
      </c>
      <c r="AI105">
        <v>124.6</v>
      </c>
      <c r="AJ105">
        <f t="shared" si="11"/>
        <v>122.59999999999998</v>
      </c>
    </row>
    <row r="106" spans="1:36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f t="shared" si="8"/>
        <v>130.40714285714284</v>
      </c>
      <c r="S106">
        <v>129.30000000000001</v>
      </c>
      <c r="T106">
        <v>124.5</v>
      </c>
      <c r="U106">
        <v>128.6</v>
      </c>
      <c r="V106">
        <f t="shared" si="6"/>
        <v>127.46666666666665</v>
      </c>
      <c r="W106">
        <v>131.69999999999999</v>
      </c>
      <c r="X106">
        <v>121.6</v>
      </c>
      <c r="Y106">
        <v>123.4</v>
      </c>
      <c r="Z106">
        <f t="shared" si="7"/>
        <v>125.56666666666666</v>
      </c>
      <c r="AA106">
        <v>120.9</v>
      </c>
      <c r="AB106">
        <v>113.8</v>
      </c>
      <c r="AC106">
        <f t="shared" si="9"/>
        <v>117.35</v>
      </c>
      <c r="AD106">
        <v>111.5</v>
      </c>
      <c r="AE106">
        <v>119.2</v>
      </c>
      <c r="AF106">
        <f t="shared" si="10"/>
        <v>115.35</v>
      </c>
      <c r="AG106">
        <v>126.3</v>
      </c>
      <c r="AH106">
        <v>118.1</v>
      </c>
      <c r="AI106">
        <v>126.6</v>
      </c>
      <c r="AJ106">
        <f t="shared" si="11"/>
        <v>123.66666666666667</v>
      </c>
    </row>
    <row r="107" spans="1:36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f t="shared" si="8"/>
        <v>129.67142857142858</v>
      </c>
      <c r="S107">
        <v>132.5</v>
      </c>
      <c r="T107">
        <v>128.5</v>
      </c>
      <c r="U107">
        <v>131.9</v>
      </c>
      <c r="V107">
        <f t="shared" si="6"/>
        <v>130.96666666666667</v>
      </c>
      <c r="W107">
        <v>132.1</v>
      </c>
      <c r="X107">
        <v>125.7</v>
      </c>
      <c r="Y107">
        <v>126</v>
      </c>
      <c r="Z107">
        <f t="shared" si="7"/>
        <v>127.93333333333334</v>
      </c>
      <c r="AA107">
        <v>123.1</v>
      </c>
      <c r="AB107">
        <v>114.1</v>
      </c>
      <c r="AC107">
        <f t="shared" si="9"/>
        <v>118.6</v>
      </c>
      <c r="AD107">
        <v>114</v>
      </c>
      <c r="AE107">
        <v>121.6</v>
      </c>
      <c r="AF107">
        <f t="shared" si="10"/>
        <v>117.8</v>
      </c>
      <c r="AG107">
        <v>125.6</v>
      </c>
      <c r="AH107">
        <v>119.8</v>
      </c>
      <c r="AI107">
        <v>127.9</v>
      </c>
      <c r="AJ107">
        <f t="shared" si="11"/>
        <v>124.43333333333332</v>
      </c>
    </row>
    <row r="108" spans="1:36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f t="shared" si="8"/>
        <v>131.21428571428572</v>
      </c>
      <c r="S108">
        <v>125.4</v>
      </c>
      <c r="T108">
        <v>119.5</v>
      </c>
      <c r="U108">
        <v>124.5</v>
      </c>
      <c r="V108">
        <f t="shared" si="6"/>
        <v>123.13333333333333</v>
      </c>
      <c r="W108">
        <v>132.1</v>
      </c>
      <c r="X108">
        <v>116</v>
      </c>
      <c r="Y108">
        <v>121</v>
      </c>
      <c r="Z108">
        <f t="shared" si="7"/>
        <v>123.03333333333335</v>
      </c>
      <c r="AA108">
        <v>118.6</v>
      </c>
      <c r="AB108">
        <v>113.2</v>
      </c>
      <c r="AC108">
        <f t="shared" si="9"/>
        <v>115.9</v>
      </c>
      <c r="AD108">
        <v>109.3</v>
      </c>
      <c r="AE108">
        <v>118.1</v>
      </c>
      <c r="AF108">
        <f t="shared" si="10"/>
        <v>113.69999999999999</v>
      </c>
      <c r="AG108">
        <v>126.6</v>
      </c>
      <c r="AH108">
        <v>116.7</v>
      </c>
      <c r="AI108">
        <v>124</v>
      </c>
      <c r="AJ108">
        <f t="shared" si="11"/>
        <v>122.43333333333334</v>
      </c>
    </row>
    <row r="109" spans="1:36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f t="shared" si="8"/>
        <v>130.04285714285714</v>
      </c>
      <c r="S109">
        <v>129.69999999999999</v>
      </c>
      <c r="T109">
        <v>124.8</v>
      </c>
      <c r="U109">
        <v>129</v>
      </c>
      <c r="V109">
        <f t="shared" si="6"/>
        <v>127.83333333333333</v>
      </c>
      <c r="W109">
        <v>131.4</v>
      </c>
      <c r="X109">
        <v>122</v>
      </c>
      <c r="Y109">
        <v>123.6</v>
      </c>
      <c r="Z109">
        <f t="shared" si="7"/>
        <v>125.66666666666667</v>
      </c>
      <c r="AA109">
        <v>121.4</v>
      </c>
      <c r="AB109">
        <v>113.7</v>
      </c>
      <c r="AC109">
        <f t="shared" si="9"/>
        <v>117.55000000000001</v>
      </c>
      <c r="AD109">
        <v>111.5</v>
      </c>
      <c r="AE109">
        <v>119.6</v>
      </c>
      <c r="AF109">
        <f t="shared" si="10"/>
        <v>115.55</v>
      </c>
      <c r="AG109">
        <v>126.2</v>
      </c>
      <c r="AH109">
        <v>118.3</v>
      </c>
      <c r="AI109">
        <v>126.1</v>
      </c>
      <c r="AJ109">
        <f t="shared" si="11"/>
        <v>123.53333333333335</v>
      </c>
    </row>
    <row r="110" spans="1:36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f t="shared" si="8"/>
        <v>130.26428571428571</v>
      </c>
      <c r="S110">
        <v>133.19999999999999</v>
      </c>
      <c r="T110">
        <v>128.9</v>
      </c>
      <c r="U110">
        <v>132.6</v>
      </c>
      <c r="V110">
        <f t="shared" si="6"/>
        <v>131.56666666666669</v>
      </c>
      <c r="W110">
        <v>131.4</v>
      </c>
      <c r="X110">
        <v>126.2</v>
      </c>
      <c r="Y110">
        <v>126.6</v>
      </c>
      <c r="Z110">
        <f t="shared" si="7"/>
        <v>128.06666666666669</v>
      </c>
      <c r="AA110">
        <v>123.7</v>
      </c>
      <c r="AB110">
        <v>114.9</v>
      </c>
      <c r="AC110">
        <f t="shared" si="9"/>
        <v>119.30000000000001</v>
      </c>
      <c r="AD110">
        <v>113.6</v>
      </c>
      <c r="AE110">
        <v>121.4</v>
      </c>
      <c r="AF110">
        <f t="shared" si="10"/>
        <v>117.5</v>
      </c>
      <c r="AG110">
        <v>126.2</v>
      </c>
      <c r="AH110">
        <v>120.1</v>
      </c>
      <c r="AI110">
        <v>128.1</v>
      </c>
      <c r="AJ110">
        <f t="shared" si="11"/>
        <v>124.8</v>
      </c>
    </row>
    <row r="111" spans="1:36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f t="shared" si="8"/>
        <v>131.49285714285716</v>
      </c>
      <c r="S111">
        <v>125.8</v>
      </c>
      <c r="T111">
        <v>119.8</v>
      </c>
      <c r="U111">
        <v>124.9</v>
      </c>
      <c r="V111">
        <f t="shared" si="6"/>
        <v>123.5</v>
      </c>
      <c r="W111">
        <v>132.6</v>
      </c>
      <c r="X111">
        <v>116.9</v>
      </c>
      <c r="Y111">
        <v>121.6</v>
      </c>
      <c r="Z111">
        <f t="shared" si="7"/>
        <v>123.7</v>
      </c>
      <c r="AA111">
        <v>119.1</v>
      </c>
      <c r="AB111">
        <v>114</v>
      </c>
      <c r="AC111">
        <f t="shared" si="9"/>
        <v>116.55</v>
      </c>
      <c r="AD111">
        <v>108.9</v>
      </c>
      <c r="AE111">
        <v>118.5</v>
      </c>
      <c r="AF111">
        <f t="shared" si="10"/>
        <v>113.7</v>
      </c>
      <c r="AG111">
        <v>126.4</v>
      </c>
      <c r="AH111">
        <v>116.8</v>
      </c>
      <c r="AI111">
        <v>124.2</v>
      </c>
      <c r="AJ111">
        <f t="shared" si="11"/>
        <v>122.46666666666665</v>
      </c>
    </row>
    <row r="112" spans="1:36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f t="shared" si="8"/>
        <v>130.49285714285716</v>
      </c>
      <c r="S112">
        <v>130.30000000000001</v>
      </c>
      <c r="T112">
        <v>125.1</v>
      </c>
      <c r="U112">
        <v>129.5</v>
      </c>
      <c r="V112">
        <f t="shared" si="6"/>
        <v>128.29999999999998</v>
      </c>
      <c r="W112">
        <v>132.6</v>
      </c>
      <c r="X112">
        <v>122.7</v>
      </c>
      <c r="Y112">
        <v>124.2</v>
      </c>
      <c r="Z112">
        <f t="shared" si="7"/>
        <v>126.5</v>
      </c>
      <c r="AA112">
        <v>122</v>
      </c>
      <c r="AB112">
        <v>114.5</v>
      </c>
      <c r="AC112">
        <f t="shared" si="9"/>
        <v>118.25</v>
      </c>
      <c r="AD112">
        <v>111.1</v>
      </c>
      <c r="AE112">
        <v>119.8</v>
      </c>
      <c r="AF112">
        <f t="shared" si="10"/>
        <v>115.44999999999999</v>
      </c>
      <c r="AG112">
        <v>126.3</v>
      </c>
      <c r="AH112">
        <v>118.5</v>
      </c>
      <c r="AI112">
        <v>126.3</v>
      </c>
      <c r="AJ112">
        <f t="shared" si="11"/>
        <v>123.7</v>
      </c>
    </row>
    <row r="113" spans="1:36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f t="shared" si="8"/>
        <v>129.78571428571428</v>
      </c>
      <c r="S113">
        <v>133.9</v>
      </c>
      <c r="T113">
        <v>129.80000000000001</v>
      </c>
      <c r="U113">
        <v>133.4</v>
      </c>
      <c r="V113">
        <f t="shared" si="6"/>
        <v>132.36666666666667</v>
      </c>
      <c r="W113">
        <v>134.4</v>
      </c>
      <c r="X113">
        <v>127.5</v>
      </c>
      <c r="Y113">
        <v>127.1</v>
      </c>
      <c r="Z113">
        <f t="shared" si="7"/>
        <v>129.66666666666666</v>
      </c>
      <c r="AA113">
        <v>124.3</v>
      </c>
      <c r="AB113">
        <v>116.8</v>
      </c>
      <c r="AC113">
        <f t="shared" si="9"/>
        <v>120.55</v>
      </c>
      <c r="AD113">
        <v>113.9</v>
      </c>
      <c r="AE113">
        <v>122.3</v>
      </c>
      <c r="AF113">
        <f t="shared" si="10"/>
        <v>118.1</v>
      </c>
      <c r="AG113">
        <v>127.1</v>
      </c>
      <c r="AH113">
        <v>120.9</v>
      </c>
      <c r="AI113">
        <v>127.9</v>
      </c>
      <c r="AJ113">
        <f t="shared" si="11"/>
        <v>125.3</v>
      </c>
    </row>
    <row r="114" spans="1:36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f t="shared" si="8"/>
        <v>129.72142857142856</v>
      </c>
      <c r="S114">
        <v>126.2</v>
      </c>
      <c r="T114">
        <v>120.1</v>
      </c>
      <c r="U114">
        <v>125.3</v>
      </c>
      <c r="V114">
        <f t="shared" si="6"/>
        <v>123.86666666666667</v>
      </c>
      <c r="W114">
        <v>134.4</v>
      </c>
      <c r="X114">
        <v>116</v>
      </c>
      <c r="Y114">
        <v>121.8</v>
      </c>
      <c r="Z114">
        <f t="shared" si="7"/>
        <v>124.06666666666666</v>
      </c>
      <c r="AA114">
        <v>119.5</v>
      </c>
      <c r="AB114">
        <v>116.2</v>
      </c>
      <c r="AC114">
        <f t="shared" si="9"/>
        <v>117.85</v>
      </c>
      <c r="AD114">
        <v>109.1</v>
      </c>
      <c r="AE114">
        <v>118.8</v>
      </c>
      <c r="AF114">
        <f t="shared" si="10"/>
        <v>113.94999999999999</v>
      </c>
      <c r="AG114">
        <v>126.3</v>
      </c>
      <c r="AH114">
        <v>117.2</v>
      </c>
      <c r="AI114">
        <v>123.8</v>
      </c>
      <c r="AJ114">
        <f t="shared" si="11"/>
        <v>122.43333333333334</v>
      </c>
    </row>
    <row r="115" spans="1:36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f t="shared" si="8"/>
        <v>129.57142857142858</v>
      </c>
      <c r="S115">
        <v>130.9</v>
      </c>
      <c r="T115">
        <v>125.8</v>
      </c>
      <c r="U115">
        <v>130.19999999999999</v>
      </c>
      <c r="V115">
        <f t="shared" si="6"/>
        <v>128.96666666666667</v>
      </c>
      <c r="W115">
        <v>135.69999999999999</v>
      </c>
      <c r="X115">
        <v>123.1</v>
      </c>
      <c r="Y115">
        <v>124.6</v>
      </c>
      <c r="Z115">
        <f t="shared" si="7"/>
        <v>127.8</v>
      </c>
      <c r="AA115">
        <v>122.5</v>
      </c>
      <c r="AB115">
        <v>116.6</v>
      </c>
      <c r="AC115">
        <f t="shared" si="9"/>
        <v>119.55</v>
      </c>
      <c r="AD115">
        <v>111.4</v>
      </c>
      <c r="AE115">
        <v>120.3</v>
      </c>
      <c r="AF115">
        <f t="shared" si="10"/>
        <v>115.85</v>
      </c>
      <c r="AG115">
        <v>126.6</v>
      </c>
      <c r="AH115">
        <v>119.1</v>
      </c>
      <c r="AI115">
        <v>126</v>
      </c>
      <c r="AJ115">
        <f t="shared" si="11"/>
        <v>123.89999999999999</v>
      </c>
    </row>
    <row r="116" spans="1:36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f t="shared" si="8"/>
        <v>129.83571428571432</v>
      </c>
      <c r="S116">
        <v>134.4</v>
      </c>
      <c r="T116">
        <v>130.19999999999999</v>
      </c>
      <c r="U116">
        <v>133.80000000000001</v>
      </c>
      <c r="V116">
        <f t="shared" si="6"/>
        <v>132.80000000000001</v>
      </c>
      <c r="W116">
        <v>135.69999999999999</v>
      </c>
      <c r="X116">
        <v>127</v>
      </c>
      <c r="Y116">
        <v>127.7</v>
      </c>
      <c r="Z116">
        <f t="shared" si="7"/>
        <v>130.13333333333333</v>
      </c>
      <c r="AA116">
        <v>124.8</v>
      </c>
      <c r="AB116">
        <v>117.4</v>
      </c>
      <c r="AC116">
        <f t="shared" si="9"/>
        <v>121.1</v>
      </c>
      <c r="AD116">
        <v>113.6</v>
      </c>
      <c r="AE116">
        <v>122.5</v>
      </c>
      <c r="AF116">
        <f t="shared" si="10"/>
        <v>118.05</v>
      </c>
      <c r="AG116">
        <v>127.5</v>
      </c>
      <c r="AH116">
        <v>121.1</v>
      </c>
      <c r="AI116">
        <v>128</v>
      </c>
      <c r="AJ116">
        <f t="shared" si="11"/>
        <v>125.53333333333335</v>
      </c>
    </row>
    <row r="117" spans="1:36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f t="shared" si="8"/>
        <v>129.15714285714287</v>
      </c>
      <c r="S117">
        <v>126.4</v>
      </c>
      <c r="T117">
        <v>120.3</v>
      </c>
      <c r="U117">
        <v>125.5</v>
      </c>
      <c r="V117">
        <f t="shared" si="6"/>
        <v>124.06666666666666</v>
      </c>
      <c r="W117">
        <v>137.30000000000001</v>
      </c>
      <c r="X117">
        <v>114.8</v>
      </c>
      <c r="Y117">
        <v>122.3</v>
      </c>
      <c r="Z117">
        <f t="shared" si="7"/>
        <v>124.80000000000001</v>
      </c>
      <c r="AA117">
        <v>119.7</v>
      </c>
      <c r="AB117">
        <v>117.1</v>
      </c>
      <c r="AC117">
        <f t="shared" si="9"/>
        <v>118.4</v>
      </c>
      <c r="AD117">
        <v>108.5</v>
      </c>
      <c r="AE117">
        <v>119.1</v>
      </c>
      <c r="AF117">
        <f t="shared" si="10"/>
        <v>113.8</v>
      </c>
      <c r="AG117">
        <v>126.4</v>
      </c>
      <c r="AH117">
        <v>117.3</v>
      </c>
      <c r="AI117">
        <v>123.8</v>
      </c>
      <c r="AJ117">
        <f t="shared" si="11"/>
        <v>122.5</v>
      </c>
    </row>
    <row r="118" spans="1:36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f t="shared" si="8"/>
        <v>129.40714285714287</v>
      </c>
      <c r="S118">
        <v>131.30000000000001</v>
      </c>
      <c r="T118">
        <v>126.1</v>
      </c>
      <c r="U118">
        <v>130.5</v>
      </c>
      <c r="V118">
        <f t="shared" si="6"/>
        <v>129.29999999999998</v>
      </c>
      <c r="W118">
        <v>137.30000000000001</v>
      </c>
      <c r="X118">
        <v>122.4</v>
      </c>
      <c r="Y118">
        <v>125.1</v>
      </c>
      <c r="Z118">
        <f t="shared" si="7"/>
        <v>128.26666666666668</v>
      </c>
      <c r="AA118">
        <v>122.9</v>
      </c>
      <c r="AB118">
        <v>117.3</v>
      </c>
      <c r="AC118">
        <f t="shared" si="9"/>
        <v>120.1</v>
      </c>
      <c r="AD118">
        <v>110.9</v>
      </c>
      <c r="AE118">
        <v>120.6</v>
      </c>
      <c r="AF118">
        <f t="shared" si="10"/>
        <v>115.75</v>
      </c>
      <c r="AG118">
        <v>126.9</v>
      </c>
      <c r="AH118">
        <v>119.3</v>
      </c>
      <c r="AI118">
        <v>126</v>
      </c>
      <c r="AJ118">
        <f t="shared" si="11"/>
        <v>124.06666666666666</v>
      </c>
    </row>
    <row r="119" spans="1:36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f t="shared" si="8"/>
        <v>131.22142857142859</v>
      </c>
      <c r="S119">
        <v>135</v>
      </c>
      <c r="T119">
        <v>130.6</v>
      </c>
      <c r="U119">
        <v>134.4</v>
      </c>
      <c r="V119">
        <f t="shared" si="6"/>
        <v>133.33333333333334</v>
      </c>
      <c r="W119">
        <v>138.6</v>
      </c>
      <c r="X119">
        <v>127</v>
      </c>
      <c r="Y119">
        <v>128</v>
      </c>
      <c r="Z119">
        <f t="shared" si="7"/>
        <v>131.20000000000002</v>
      </c>
      <c r="AA119">
        <v>125.2</v>
      </c>
      <c r="AB119">
        <v>118.4</v>
      </c>
      <c r="AC119">
        <f t="shared" si="9"/>
        <v>121.80000000000001</v>
      </c>
      <c r="AD119">
        <v>114.4</v>
      </c>
      <c r="AE119">
        <v>123.2</v>
      </c>
      <c r="AF119">
        <f t="shared" si="10"/>
        <v>118.80000000000001</v>
      </c>
      <c r="AG119">
        <v>127.9</v>
      </c>
      <c r="AH119">
        <v>121.7</v>
      </c>
      <c r="AI119">
        <v>129</v>
      </c>
      <c r="AJ119">
        <f t="shared" si="11"/>
        <v>126.2</v>
      </c>
    </row>
    <row r="120" spans="1:36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f t="shared" si="8"/>
        <v>131.98571428571429</v>
      </c>
      <c r="S120">
        <v>126.8</v>
      </c>
      <c r="T120">
        <v>120.5</v>
      </c>
      <c r="U120">
        <v>125.8</v>
      </c>
      <c r="V120">
        <f t="shared" si="6"/>
        <v>124.36666666666667</v>
      </c>
      <c r="W120">
        <v>138.6</v>
      </c>
      <c r="X120">
        <v>114.6</v>
      </c>
      <c r="Y120">
        <v>122.8</v>
      </c>
      <c r="Z120">
        <f t="shared" si="7"/>
        <v>125.33333333333333</v>
      </c>
      <c r="AA120">
        <v>120</v>
      </c>
      <c r="AB120">
        <v>117.6</v>
      </c>
      <c r="AC120">
        <f t="shared" si="9"/>
        <v>118.8</v>
      </c>
      <c r="AD120">
        <v>110</v>
      </c>
      <c r="AE120">
        <v>119.5</v>
      </c>
      <c r="AF120">
        <f t="shared" si="10"/>
        <v>114.75</v>
      </c>
      <c r="AG120">
        <v>127.6</v>
      </c>
      <c r="AH120">
        <v>118.2</v>
      </c>
      <c r="AI120">
        <v>125.3</v>
      </c>
      <c r="AJ120">
        <f t="shared" si="11"/>
        <v>123.7</v>
      </c>
    </row>
    <row r="121" spans="1:36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f t="shared" si="8"/>
        <v>131.31428571428572</v>
      </c>
      <c r="S121">
        <v>131.80000000000001</v>
      </c>
      <c r="T121">
        <v>126.4</v>
      </c>
      <c r="U121">
        <v>131</v>
      </c>
      <c r="V121">
        <f t="shared" si="6"/>
        <v>129.73333333333335</v>
      </c>
      <c r="W121">
        <v>139.1</v>
      </c>
      <c r="X121">
        <v>122.3</v>
      </c>
      <c r="Y121">
        <v>125.5</v>
      </c>
      <c r="Z121">
        <f t="shared" si="7"/>
        <v>128.96666666666667</v>
      </c>
      <c r="AA121">
        <v>123.2</v>
      </c>
      <c r="AB121">
        <v>118.1</v>
      </c>
      <c r="AC121">
        <f t="shared" si="9"/>
        <v>120.65</v>
      </c>
      <c r="AD121">
        <v>112.1</v>
      </c>
      <c r="AE121">
        <v>121.1</v>
      </c>
      <c r="AF121">
        <f t="shared" si="10"/>
        <v>116.6</v>
      </c>
      <c r="AG121">
        <v>127.7</v>
      </c>
      <c r="AH121">
        <v>120</v>
      </c>
      <c r="AI121">
        <v>127.3</v>
      </c>
      <c r="AJ121">
        <f t="shared" si="11"/>
        <v>125</v>
      </c>
    </row>
    <row r="122" spans="1:36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f t="shared" si="8"/>
        <v>132.83571428571426</v>
      </c>
      <c r="S122">
        <v>135.4</v>
      </c>
      <c r="T122">
        <v>131.1</v>
      </c>
      <c r="U122">
        <v>134.80000000000001</v>
      </c>
      <c r="V122">
        <f t="shared" si="6"/>
        <v>133.76666666666668</v>
      </c>
      <c r="W122">
        <v>139.1</v>
      </c>
      <c r="X122">
        <v>127.4</v>
      </c>
      <c r="Y122">
        <v>128.5</v>
      </c>
      <c r="Z122">
        <f t="shared" si="7"/>
        <v>131.66666666666666</v>
      </c>
      <c r="AA122">
        <v>125.8</v>
      </c>
      <c r="AB122">
        <v>119.7</v>
      </c>
      <c r="AC122">
        <f t="shared" si="9"/>
        <v>122.75</v>
      </c>
      <c r="AD122">
        <v>115.1</v>
      </c>
      <c r="AE122">
        <v>123.6</v>
      </c>
      <c r="AF122">
        <f t="shared" si="10"/>
        <v>119.35</v>
      </c>
      <c r="AG122">
        <v>129.1</v>
      </c>
      <c r="AH122">
        <v>122.5</v>
      </c>
      <c r="AI122">
        <v>130.30000000000001</v>
      </c>
      <c r="AJ122">
        <f t="shared" si="11"/>
        <v>127.3</v>
      </c>
    </row>
    <row r="123" spans="1:36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f t="shared" si="8"/>
        <v>134.92857142857142</v>
      </c>
      <c r="S123">
        <v>127.2</v>
      </c>
      <c r="T123">
        <v>120.7</v>
      </c>
      <c r="U123">
        <v>126.2</v>
      </c>
      <c r="V123">
        <f t="shared" si="6"/>
        <v>124.7</v>
      </c>
      <c r="W123">
        <v>140.4</v>
      </c>
      <c r="X123">
        <v>115</v>
      </c>
      <c r="Y123">
        <v>123.2</v>
      </c>
      <c r="Z123">
        <f t="shared" si="7"/>
        <v>126.2</v>
      </c>
      <c r="AA123">
        <v>120.3</v>
      </c>
      <c r="AB123">
        <v>118.5</v>
      </c>
      <c r="AC123">
        <f t="shared" si="9"/>
        <v>119.4</v>
      </c>
      <c r="AD123">
        <v>110.7</v>
      </c>
      <c r="AE123">
        <v>119.8</v>
      </c>
      <c r="AF123">
        <f t="shared" si="10"/>
        <v>115.25</v>
      </c>
      <c r="AG123">
        <v>128</v>
      </c>
      <c r="AH123">
        <v>118.7</v>
      </c>
      <c r="AI123">
        <v>126.6</v>
      </c>
      <c r="AJ123">
        <f t="shared" si="11"/>
        <v>124.43333333333332</v>
      </c>
    </row>
    <row r="124" spans="1:36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f t="shared" si="8"/>
        <v>133.43571428571428</v>
      </c>
      <c r="S124">
        <v>132.19999999999999</v>
      </c>
      <c r="T124">
        <v>126.8</v>
      </c>
      <c r="U124">
        <v>131.4</v>
      </c>
      <c r="V124">
        <f t="shared" si="6"/>
        <v>130.13333333333333</v>
      </c>
      <c r="W124">
        <v>140.4</v>
      </c>
      <c r="X124">
        <v>122.7</v>
      </c>
      <c r="Y124">
        <v>126</v>
      </c>
      <c r="Z124">
        <f t="shared" si="7"/>
        <v>129.70000000000002</v>
      </c>
      <c r="AA124">
        <v>123.7</v>
      </c>
      <c r="AB124">
        <v>119.2</v>
      </c>
      <c r="AC124">
        <f t="shared" si="9"/>
        <v>121.45</v>
      </c>
      <c r="AD124">
        <v>112.8</v>
      </c>
      <c r="AE124">
        <v>121.5</v>
      </c>
      <c r="AF124">
        <f t="shared" si="10"/>
        <v>117.15</v>
      </c>
      <c r="AG124">
        <v>128.5</v>
      </c>
      <c r="AH124">
        <v>120.7</v>
      </c>
      <c r="AI124">
        <v>128.6</v>
      </c>
      <c r="AJ124">
        <f t="shared" si="11"/>
        <v>125.93333333333332</v>
      </c>
    </row>
    <row r="125" spans="1:36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f t="shared" si="8"/>
        <v>134.69999999999999</v>
      </c>
      <c r="S125">
        <v>136.30000000000001</v>
      </c>
      <c r="T125">
        <v>131.6</v>
      </c>
      <c r="U125">
        <v>135.6</v>
      </c>
      <c r="V125">
        <f t="shared" si="6"/>
        <v>134.5</v>
      </c>
      <c r="W125">
        <v>141.30000000000001</v>
      </c>
      <c r="X125">
        <v>128</v>
      </c>
      <c r="Y125">
        <v>129.30000000000001</v>
      </c>
      <c r="Z125">
        <f t="shared" si="7"/>
        <v>132.86666666666667</v>
      </c>
      <c r="AA125">
        <v>126.2</v>
      </c>
      <c r="AB125">
        <v>119.9</v>
      </c>
      <c r="AC125">
        <f t="shared" si="9"/>
        <v>123.05000000000001</v>
      </c>
      <c r="AD125">
        <v>116.3</v>
      </c>
      <c r="AE125">
        <v>124.1</v>
      </c>
      <c r="AF125">
        <f t="shared" si="10"/>
        <v>120.19999999999999</v>
      </c>
      <c r="AG125">
        <v>130.19999999999999</v>
      </c>
      <c r="AH125">
        <v>123.3</v>
      </c>
      <c r="AI125">
        <v>131.9</v>
      </c>
      <c r="AJ125">
        <f t="shared" si="11"/>
        <v>128.46666666666667</v>
      </c>
    </row>
    <row r="126" spans="1:36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f t="shared" si="8"/>
        <v>137.83571428571432</v>
      </c>
      <c r="S126">
        <v>127.6</v>
      </c>
      <c r="T126">
        <v>121.1</v>
      </c>
      <c r="U126">
        <v>126.6</v>
      </c>
      <c r="V126">
        <f t="shared" si="6"/>
        <v>125.09999999999998</v>
      </c>
      <c r="W126">
        <v>141.30000000000001</v>
      </c>
      <c r="X126">
        <v>115.5</v>
      </c>
      <c r="Y126">
        <v>123.2</v>
      </c>
      <c r="Z126">
        <f t="shared" si="7"/>
        <v>126.66666666666667</v>
      </c>
      <c r="AA126">
        <v>120.6</v>
      </c>
      <c r="AB126">
        <v>118.8</v>
      </c>
      <c r="AC126">
        <f t="shared" si="9"/>
        <v>119.69999999999999</v>
      </c>
      <c r="AD126">
        <v>112.3</v>
      </c>
      <c r="AE126">
        <v>119.9</v>
      </c>
      <c r="AF126">
        <f t="shared" si="10"/>
        <v>116.1</v>
      </c>
      <c r="AG126">
        <v>129.30000000000001</v>
      </c>
      <c r="AH126">
        <v>119.6</v>
      </c>
      <c r="AI126">
        <v>128.1</v>
      </c>
      <c r="AJ126">
        <f t="shared" si="11"/>
        <v>125.66666666666667</v>
      </c>
    </row>
    <row r="127" spans="1:36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f t="shared" si="8"/>
        <v>135.66428571428571</v>
      </c>
      <c r="S127">
        <v>132.9</v>
      </c>
      <c r="T127">
        <v>127.2</v>
      </c>
      <c r="U127">
        <v>132</v>
      </c>
      <c r="V127">
        <f t="shared" si="6"/>
        <v>130.70000000000002</v>
      </c>
      <c r="W127">
        <v>142</v>
      </c>
      <c r="X127">
        <v>123.3</v>
      </c>
      <c r="Y127">
        <v>126.4</v>
      </c>
      <c r="Z127">
        <f t="shared" si="7"/>
        <v>130.56666666666669</v>
      </c>
      <c r="AA127">
        <v>124.1</v>
      </c>
      <c r="AB127">
        <v>119.4</v>
      </c>
      <c r="AC127">
        <f t="shared" si="9"/>
        <v>121.75</v>
      </c>
      <c r="AD127">
        <v>114.2</v>
      </c>
      <c r="AE127">
        <v>121.7</v>
      </c>
      <c r="AF127">
        <f t="shared" si="10"/>
        <v>117.95</v>
      </c>
      <c r="AG127">
        <v>129.69999999999999</v>
      </c>
      <c r="AH127">
        <v>121.5</v>
      </c>
      <c r="AI127">
        <v>130.1</v>
      </c>
      <c r="AJ127">
        <f t="shared" si="11"/>
        <v>127.09999999999998</v>
      </c>
    </row>
    <row r="128" spans="1:36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f t="shared" si="8"/>
        <v>136.30714285714285</v>
      </c>
      <c r="S128">
        <v>137.19999999999999</v>
      </c>
      <c r="T128">
        <v>132.19999999999999</v>
      </c>
      <c r="U128">
        <v>136.5</v>
      </c>
      <c r="V128">
        <f t="shared" si="6"/>
        <v>135.29999999999998</v>
      </c>
      <c r="W128">
        <v>142</v>
      </c>
      <c r="X128">
        <v>128.19999999999999</v>
      </c>
      <c r="Y128">
        <v>130</v>
      </c>
      <c r="Z128">
        <f t="shared" si="7"/>
        <v>133.4</v>
      </c>
      <c r="AA128">
        <v>126.7</v>
      </c>
      <c r="AB128">
        <v>120.9</v>
      </c>
      <c r="AC128">
        <f t="shared" si="9"/>
        <v>123.80000000000001</v>
      </c>
      <c r="AD128">
        <v>116.4</v>
      </c>
      <c r="AE128">
        <v>125.2</v>
      </c>
      <c r="AF128">
        <f t="shared" si="10"/>
        <v>120.80000000000001</v>
      </c>
      <c r="AG128">
        <v>130.80000000000001</v>
      </c>
      <c r="AH128">
        <v>123.8</v>
      </c>
      <c r="AI128">
        <v>133</v>
      </c>
      <c r="AJ128">
        <f t="shared" si="11"/>
        <v>129.20000000000002</v>
      </c>
    </row>
    <row r="129" spans="1:36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f t="shared" si="8"/>
        <v>139.60000000000002</v>
      </c>
      <c r="S129">
        <v>127.9</v>
      </c>
      <c r="T129">
        <v>121.1</v>
      </c>
      <c r="U129">
        <v>126.9</v>
      </c>
      <c r="V129">
        <f t="shared" si="6"/>
        <v>125.3</v>
      </c>
      <c r="W129">
        <v>142.9</v>
      </c>
      <c r="X129">
        <v>115.5</v>
      </c>
      <c r="Y129">
        <v>123.5</v>
      </c>
      <c r="Z129">
        <f t="shared" si="7"/>
        <v>127.3</v>
      </c>
      <c r="AA129">
        <v>120.9</v>
      </c>
      <c r="AB129">
        <v>120</v>
      </c>
      <c r="AC129">
        <f t="shared" si="9"/>
        <v>120.45</v>
      </c>
      <c r="AD129">
        <v>111.7</v>
      </c>
      <c r="AE129">
        <v>120.3</v>
      </c>
      <c r="AF129">
        <f t="shared" si="10"/>
        <v>116</v>
      </c>
      <c r="AG129">
        <v>130.80000000000001</v>
      </c>
      <c r="AH129">
        <v>119.9</v>
      </c>
      <c r="AI129">
        <v>129</v>
      </c>
      <c r="AJ129">
        <f t="shared" si="11"/>
        <v>126.56666666666668</v>
      </c>
    </row>
    <row r="130" spans="1:36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f t="shared" si="8"/>
        <v>137.34285714285713</v>
      </c>
      <c r="S130">
        <v>133.5</v>
      </c>
      <c r="T130">
        <v>127.6</v>
      </c>
      <c r="U130">
        <v>132.69999999999999</v>
      </c>
      <c r="V130">
        <f t="shared" ref="V130:V193" si="12">AVERAGE(S130:U130)</f>
        <v>131.26666666666668</v>
      </c>
      <c r="W130">
        <v>142.9</v>
      </c>
      <c r="X130">
        <v>123.4</v>
      </c>
      <c r="Y130">
        <v>126.9</v>
      </c>
      <c r="Z130">
        <f t="shared" ref="Z130:Z193" si="13">AVERAGE(W130:Y130)</f>
        <v>131.06666666666669</v>
      </c>
      <c r="AA130">
        <v>124.5</v>
      </c>
      <c r="AB130">
        <v>120.5</v>
      </c>
      <c r="AC130">
        <f t="shared" si="9"/>
        <v>122.5</v>
      </c>
      <c r="AD130">
        <v>113.9</v>
      </c>
      <c r="AE130">
        <v>122.4</v>
      </c>
      <c r="AF130">
        <f t="shared" si="10"/>
        <v>118.15</v>
      </c>
      <c r="AG130">
        <v>130.80000000000001</v>
      </c>
      <c r="AH130">
        <v>121.9</v>
      </c>
      <c r="AI130">
        <v>131.1</v>
      </c>
      <c r="AJ130">
        <f t="shared" si="11"/>
        <v>127.93333333333334</v>
      </c>
    </row>
    <row r="131" spans="1:36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f t="shared" ref="R131:R194" si="14">AVERAGE(D131:Q131)</f>
        <v>136.88571428571427</v>
      </c>
      <c r="S131">
        <v>137.80000000000001</v>
      </c>
      <c r="T131">
        <v>133</v>
      </c>
      <c r="U131">
        <v>137.1</v>
      </c>
      <c r="V131">
        <f t="shared" si="12"/>
        <v>135.96666666666667</v>
      </c>
      <c r="W131">
        <v>143.19999999999999</v>
      </c>
      <c r="X131">
        <v>129.1</v>
      </c>
      <c r="Y131">
        <v>130.6</v>
      </c>
      <c r="Z131">
        <f t="shared" si="13"/>
        <v>134.29999999999998</v>
      </c>
      <c r="AA131">
        <v>127</v>
      </c>
      <c r="AB131">
        <v>122</v>
      </c>
      <c r="AC131">
        <f t="shared" ref="AC131:AC194" si="15">AVERAGE(AA131:AB131)</f>
        <v>124.5</v>
      </c>
      <c r="AD131">
        <v>116</v>
      </c>
      <c r="AE131">
        <v>125.5</v>
      </c>
      <c r="AF131">
        <f t="shared" ref="AF131:AF194" si="16">AVERAGE(AD131:AE131)</f>
        <v>120.75</v>
      </c>
      <c r="AG131">
        <v>131.9</v>
      </c>
      <c r="AH131">
        <v>124.2</v>
      </c>
      <c r="AI131">
        <v>133.5</v>
      </c>
      <c r="AJ131">
        <f t="shared" ref="AJ131:AJ194" si="17">AVERAGE(AG131:AI131)</f>
        <v>129.86666666666667</v>
      </c>
    </row>
    <row r="132" spans="1:36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f t="shared" si="14"/>
        <v>137.68571428571425</v>
      </c>
      <c r="S132">
        <v>128.30000000000001</v>
      </c>
      <c r="T132">
        <v>121.4</v>
      </c>
      <c r="U132">
        <v>127.3</v>
      </c>
      <c r="V132">
        <f t="shared" si="12"/>
        <v>125.66666666666667</v>
      </c>
      <c r="W132">
        <v>143.19999999999999</v>
      </c>
      <c r="X132">
        <v>114.7</v>
      </c>
      <c r="Y132">
        <v>123.9</v>
      </c>
      <c r="Z132">
        <f t="shared" si="13"/>
        <v>127.26666666666665</v>
      </c>
      <c r="AA132">
        <v>121.2</v>
      </c>
      <c r="AB132">
        <v>120.9</v>
      </c>
      <c r="AC132">
        <f t="shared" si="15"/>
        <v>121.05000000000001</v>
      </c>
      <c r="AD132">
        <v>110.4</v>
      </c>
      <c r="AE132">
        <v>120.6</v>
      </c>
      <c r="AF132">
        <f t="shared" si="16"/>
        <v>115.5</v>
      </c>
      <c r="AG132">
        <v>131.5</v>
      </c>
      <c r="AH132">
        <v>119.9</v>
      </c>
      <c r="AI132">
        <v>128.4</v>
      </c>
      <c r="AJ132">
        <f t="shared" si="17"/>
        <v>126.60000000000001</v>
      </c>
    </row>
    <row r="133" spans="1:36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f t="shared" si="14"/>
        <v>137.00714285714287</v>
      </c>
      <c r="S133">
        <v>134.1</v>
      </c>
      <c r="T133">
        <v>128.19999999999999</v>
      </c>
      <c r="U133">
        <v>133.19999999999999</v>
      </c>
      <c r="V133">
        <f t="shared" si="12"/>
        <v>131.83333333333331</v>
      </c>
      <c r="W133">
        <v>142.5</v>
      </c>
      <c r="X133">
        <v>123.6</v>
      </c>
      <c r="Y133">
        <v>127.4</v>
      </c>
      <c r="Z133">
        <f t="shared" si="13"/>
        <v>131.16666666666666</v>
      </c>
      <c r="AA133">
        <v>124.8</v>
      </c>
      <c r="AB133">
        <v>121.5</v>
      </c>
      <c r="AC133">
        <f t="shared" si="15"/>
        <v>123.15</v>
      </c>
      <c r="AD133">
        <v>113.1</v>
      </c>
      <c r="AE133">
        <v>122.7</v>
      </c>
      <c r="AF133">
        <f t="shared" si="16"/>
        <v>117.9</v>
      </c>
      <c r="AG133">
        <v>131.69999999999999</v>
      </c>
      <c r="AH133">
        <v>122.1</v>
      </c>
      <c r="AI133">
        <v>131.1</v>
      </c>
      <c r="AJ133">
        <f t="shared" si="17"/>
        <v>128.29999999999998</v>
      </c>
    </row>
    <row r="134" spans="1:36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f t="shared" si="14"/>
        <v>136.47142857142859</v>
      </c>
      <c r="S134">
        <v>138.5</v>
      </c>
      <c r="T134">
        <v>133.5</v>
      </c>
      <c r="U134">
        <v>137.80000000000001</v>
      </c>
      <c r="V134">
        <f t="shared" si="12"/>
        <v>136.6</v>
      </c>
      <c r="W134">
        <v>142.5</v>
      </c>
      <c r="X134">
        <v>129.69999999999999</v>
      </c>
      <c r="Y134">
        <v>131.1</v>
      </c>
      <c r="Z134">
        <f t="shared" si="13"/>
        <v>134.43333333333331</v>
      </c>
      <c r="AA134">
        <v>127.8</v>
      </c>
      <c r="AB134">
        <v>122.8</v>
      </c>
      <c r="AC134">
        <f t="shared" si="15"/>
        <v>125.3</v>
      </c>
      <c r="AD134">
        <v>117</v>
      </c>
      <c r="AE134">
        <v>125.7</v>
      </c>
      <c r="AF134">
        <f t="shared" si="16"/>
        <v>121.35</v>
      </c>
      <c r="AG134">
        <v>132.19999999999999</v>
      </c>
      <c r="AH134">
        <v>124.9</v>
      </c>
      <c r="AI134">
        <v>133.4</v>
      </c>
      <c r="AJ134">
        <f t="shared" si="17"/>
        <v>130.16666666666666</v>
      </c>
    </row>
    <row r="135" spans="1:36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f t="shared" si="14"/>
        <v>135.73571428571427</v>
      </c>
      <c r="S135">
        <v>128.69999999999999</v>
      </c>
      <c r="T135">
        <v>121.6</v>
      </c>
      <c r="U135">
        <v>127.7</v>
      </c>
      <c r="V135">
        <f t="shared" si="12"/>
        <v>126</v>
      </c>
      <c r="W135">
        <v>143.6</v>
      </c>
      <c r="X135">
        <v>114.8</v>
      </c>
      <c r="Y135">
        <v>124.3</v>
      </c>
      <c r="Z135">
        <f t="shared" si="13"/>
        <v>127.56666666666666</v>
      </c>
      <c r="AA135">
        <v>121.4</v>
      </c>
      <c r="AB135">
        <v>121.2</v>
      </c>
      <c r="AC135">
        <f t="shared" si="15"/>
        <v>121.30000000000001</v>
      </c>
      <c r="AD135">
        <v>111.8</v>
      </c>
      <c r="AE135">
        <v>120.8</v>
      </c>
      <c r="AF135">
        <f t="shared" si="16"/>
        <v>116.3</v>
      </c>
      <c r="AG135">
        <v>131.6</v>
      </c>
      <c r="AH135">
        <v>120.5</v>
      </c>
      <c r="AI135">
        <v>128</v>
      </c>
      <c r="AJ135">
        <f t="shared" si="17"/>
        <v>126.7</v>
      </c>
    </row>
    <row r="136" spans="1:36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f t="shared" si="14"/>
        <v>136.04999999999998</v>
      </c>
      <c r="S136">
        <v>134.6</v>
      </c>
      <c r="T136">
        <v>128.6</v>
      </c>
      <c r="U136">
        <v>133.80000000000001</v>
      </c>
      <c r="V136">
        <f t="shared" si="12"/>
        <v>132.33333333333334</v>
      </c>
      <c r="W136">
        <v>143.6</v>
      </c>
      <c r="X136">
        <v>124.1</v>
      </c>
      <c r="Y136">
        <v>127.9</v>
      </c>
      <c r="Z136">
        <f t="shared" si="13"/>
        <v>131.86666666666667</v>
      </c>
      <c r="AA136">
        <v>125.4</v>
      </c>
      <c r="AB136">
        <v>122.1</v>
      </c>
      <c r="AC136">
        <f t="shared" si="15"/>
        <v>123.75</v>
      </c>
      <c r="AD136">
        <v>114.3</v>
      </c>
      <c r="AE136">
        <v>122.9</v>
      </c>
      <c r="AF136">
        <f t="shared" si="16"/>
        <v>118.6</v>
      </c>
      <c r="AG136">
        <v>131.80000000000001</v>
      </c>
      <c r="AH136">
        <v>122.8</v>
      </c>
      <c r="AI136">
        <v>130.9</v>
      </c>
      <c r="AJ136">
        <f t="shared" si="17"/>
        <v>128.5</v>
      </c>
    </row>
    <row r="137" spans="1:36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f t="shared" si="14"/>
        <v>136.62142857142859</v>
      </c>
      <c r="S137">
        <v>139.6</v>
      </c>
      <c r="T137">
        <v>134.30000000000001</v>
      </c>
      <c r="U137">
        <v>138.80000000000001</v>
      </c>
      <c r="V137">
        <f t="shared" si="12"/>
        <v>137.56666666666666</v>
      </c>
      <c r="W137">
        <v>144.6</v>
      </c>
      <c r="X137">
        <v>129.80000000000001</v>
      </c>
      <c r="Y137">
        <v>131.80000000000001</v>
      </c>
      <c r="Z137">
        <f t="shared" si="13"/>
        <v>135.4</v>
      </c>
      <c r="AA137">
        <v>128.69999999999999</v>
      </c>
      <c r="AB137">
        <v>123</v>
      </c>
      <c r="AC137">
        <f t="shared" si="15"/>
        <v>125.85</v>
      </c>
      <c r="AD137">
        <v>117.8</v>
      </c>
      <c r="AE137">
        <v>126.5</v>
      </c>
      <c r="AF137">
        <f t="shared" si="16"/>
        <v>122.15</v>
      </c>
      <c r="AG137">
        <v>133</v>
      </c>
      <c r="AH137">
        <v>125.7</v>
      </c>
      <c r="AI137">
        <v>133.80000000000001</v>
      </c>
      <c r="AJ137">
        <f t="shared" si="17"/>
        <v>130.83333333333334</v>
      </c>
    </row>
    <row r="138" spans="1:36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f t="shared" si="14"/>
        <v>136.22857142857143</v>
      </c>
      <c r="S138">
        <v>129.1</v>
      </c>
      <c r="T138">
        <v>121.9</v>
      </c>
      <c r="U138">
        <v>128</v>
      </c>
      <c r="V138">
        <f t="shared" si="12"/>
        <v>126.33333333333333</v>
      </c>
      <c r="W138">
        <v>144.6</v>
      </c>
      <c r="X138">
        <v>115.2</v>
      </c>
      <c r="Y138">
        <v>124.5</v>
      </c>
      <c r="Z138">
        <f t="shared" si="13"/>
        <v>128.1</v>
      </c>
      <c r="AA138">
        <v>121.8</v>
      </c>
      <c r="AB138">
        <v>120.8</v>
      </c>
      <c r="AC138">
        <f t="shared" si="15"/>
        <v>121.3</v>
      </c>
      <c r="AD138">
        <v>112.8</v>
      </c>
      <c r="AE138">
        <v>121.2</v>
      </c>
      <c r="AF138">
        <f t="shared" si="16"/>
        <v>117</v>
      </c>
      <c r="AG138">
        <v>131.9</v>
      </c>
      <c r="AH138">
        <v>120.9</v>
      </c>
      <c r="AI138">
        <v>128.6</v>
      </c>
      <c r="AJ138">
        <f t="shared" si="17"/>
        <v>127.13333333333333</v>
      </c>
    </row>
    <row r="139" spans="1:36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f t="shared" si="14"/>
        <v>136.32857142857139</v>
      </c>
      <c r="S139">
        <v>135.5</v>
      </c>
      <c r="T139">
        <v>129.1</v>
      </c>
      <c r="U139">
        <v>134.5</v>
      </c>
      <c r="V139">
        <f t="shared" si="12"/>
        <v>133.03333333333333</v>
      </c>
      <c r="W139">
        <v>145.30000000000001</v>
      </c>
      <c r="X139">
        <v>124.3</v>
      </c>
      <c r="Y139">
        <v>128.4</v>
      </c>
      <c r="Z139">
        <f t="shared" si="13"/>
        <v>132.66666666666666</v>
      </c>
      <c r="AA139">
        <v>126.1</v>
      </c>
      <c r="AB139">
        <v>122.1</v>
      </c>
      <c r="AC139">
        <f t="shared" si="15"/>
        <v>124.1</v>
      </c>
      <c r="AD139">
        <v>115.2</v>
      </c>
      <c r="AE139">
        <v>123.5</v>
      </c>
      <c r="AF139">
        <f t="shared" si="16"/>
        <v>119.35</v>
      </c>
      <c r="AG139">
        <v>132.4</v>
      </c>
      <c r="AH139">
        <v>123.4</v>
      </c>
      <c r="AI139">
        <v>131.4</v>
      </c>
      <c r="AJ139">
        <f t="shared" si="17"/>
        <v>129.06666666666669</v>
      </c>
    </row>
    <row r="140" spans="1:36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f t="shared" si="14"/>
        <v>136.12857142857143</v>
      </c>
      <c r="S140">
        <v>139.9</v>
      </c>
      <c r="T140">
        <v>134.5</v>
      </c>
      <c r="U140">
        <v>139.19999999999999</v>
      </c>
      <c r="V140">
        <f t="shared" si="12"/>
        <v>137.86666666666665</v>
      </c>
      <c r="W140">
        <v>145.30000000000001</v>
      </c>
      <c r="X140">
        <v>130.30000000000001</v>
      </c>
      <c r="Y140">
        <v>132.1</v>
      </c>
      <c r="Z140">
        <f t="shared" si="13"/>
        <v>135.9</v>
      </c>
      <c r="AA140">
        <v>129.1</v>
      </c>
      <c r="AB140">
        <v>123.5</v>
      </c>
      <c r="AC140">
        <f t="shared" si="15"/>
        <v>126.3</v>
      </c>
      <c r="AD140">
        <v>118.2</v>
      </c>
      <c r="AE140">
        <v>126.9</v>
      </c>
      <c r="AF140">
        <f t="shared" si="16"/>
        <v>122.55000000000001</v>
      </c>
      <c r="AG140">
        <v>133.69999999999999</v>
      </c>
      <c r="AH140">
        <v>126.1</v>
      </c>
      <c r="AI140">
        <v>133.6</v>
      </c>
      <c r="AJ140">
        <f t="shared" si="17"/>
        <v>131.13333333333333</v>
      </c>
    </row>
    <row r="141" spans="1:36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f t="shared" si="14"/>
        <v>135.67857142857142</v>
      </c>
      <c r="S141">
        <v>129.6</v>
      </c>
      <c r="T141">
        <v>122.1</v>
      </c>
      <c r="U141">
        <v>128.5</v>
      </c>
      <c r="V141">
        <f t="shared" si="12"/>
        <v>126.73333333333333</v>
      </c>
      <c r="W141">
        <v>146.30000000000001</v>
      </c>
      <c r="X141">
        <v>116.2</v>
      </c>
      <c r="Y141">
        <v>124.7</v>
      </c>
      <c r="Z141">
        <f t="shared" si="13"/>
        <v>129.06666666666666</v>
      </c>
      <c r="AA141">
        <v>122.1</v>
      </c>
      <c r="AB141">
        <v>121.3</v>
      </c>
      <c r="AC141">
        <f t="shared" si="15"/>
        <v>121.69999999999999</v>
      </c>
      <c r="AD141">
        <v>113.4</v>
      </c>
      <c r="AE141">
        <v>121.7</v>
      </c>
      <c r="AF141">
        <f t="shared" si="16"/>
        <v>117.55000000000001</v>
      </c>
      <c r="AG141">
        <v>132.1</v>
      </c>
      <c r="AH141">
        <v>121.3</v>
      </c>
      <c r="AI141">
        <v>128.5</v>
      </c>
      <c r="AJ141">
        <f t="shared" si="17"/>
        <v>127.3</v>
      </c>
    </row>
    <row r="142" spans="1:36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f t="shared" si="14"/>
        <v>135.84285714285713</v>
      </c>
      <c r="S142">
        <v>135.80000000000001</v>
      </c>
      <c r="T142">
        <v>129.30000000000001</v>
      </c>
      <c r="U142">
        <v>135</v>
      </c>
      <c r="V142">
        <f t="shared" si="12"/>
        <v>133.36666666666667</v>
      </c>
      <c r="W142">
        <v>146.9</v>
      </c>
      <c r="X142">
        <v>125</v>
      </c>
      <c r="Y142">
        <v>128.6</v>
      </c>
      <c r="Z142">
        <f t="shared" si="13"/>
        <v>133.5</v>
      </c>
      <c r="AA142">
        <v>126.4</v>
      </c>
      <c r="AB142">
        <v>122.6</v>
      </c>
      <c r="AC142">
        <f t="shared" si="15"/>
        <v>124.5</v>
      </c>
      <c r="AD142">
        <v>115.7</v>
      </c>
      <c r="AE142">
        <v>124</v>
      </c>
      <c r="AF142">
        <f t="shared" si="16"/>
        <v>119.85</v>
      </c>
      <c r="AG142">
        <v>132.80000000000001</v>
      </c>
      <c r="AH142">
        <v>123.8</v>
      </c>
      <c r="AI142">
        <v>131.19999999999999</v>
      </c>
      <c r="AJ142">
        <f t="shared" si="17"/>
        <v>129.26666666666668</v>
      </c>
    </row>
    <row r="143" spans="1:36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f t="shared" si="14"/>
        <v>135.10714285714286</v>
      </c>
      <c r="S143">
        <v>140.4</v>
      </c>
      <c r="T143">
        <v>135.19999999999999</v>
      </c>
      <c r="U143">
        <v>139.69999999999999</v>
      </c>
      <c r="V143">
        <f t="shared" si="12"/>
        <v>138.43333333333334</v>
      </c>
      <c r="W143">
        <v>146.9</v>
      </c>
      <c r="X143">
        <v>132</v>
      </c>
      <c r="Y143">
        <v>132.9</v>
      </c>
      <c r="Z143">
        <f t="shared" si="13"/>
        <v>137.26666666666665</v>
      </c>
      <c r="AA143">
        <v>129.69999999999999</v>
      </c>
      <c r="AB143">
        <v>121.9</v>
      </c>
      <c r="AC143">
        <f t="shared" si="15"/>
        <v>125.8</v>
      </c>
      <c r="AD143">
        <v>118.6</v>
      </c>
      <c r="AE143">
        <v>127.3</v>
      </c>
      <c r="AF143">
        <f t="shared" si="16"/>
        <v>122.94999999999999</v>
      </c>
      <c r="AG143">
        <v>134.19999999999999</v>
      </c>
      <c r="AH143">
        <v>126.3</v>
      </c>
      <c r="AI143">
        <v>132.80000000000001</v>
      </c>
      <c r="AJ143">
        <f t="shared" si="17"/>
        <v>131.1</v>
      </c>
    </row>
    <row r="144" spans="1:36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f t="shared" si="14"/>
        <v>133.91428571428571</v>
      </c>
      <c r="S144">
        <v>130</v>
      </c>
      <c r="T144">
        <v>122.2</v>
      </c>
      <c r="U144">
        <v>128.80000000000001</v>
      </c>
      <c r="V144">
        <f t="shared" si="12"/>
        <v>127</v>
      </c>
      <c r="W144">
        <v>146.9</v>
      </c>
      <c r="X144">
        <v>117.8</v>
      </c>
      <c r="Y144">
        <v>125</v>
      </c>
      <c r="Z144">
        <f t="shared" si="13"/>
        <v>129.9</v>
      </c>
      <c r="AA144">
        <v>122.3</v>
      </c>
      <c r="AB144">
        <v>119.9</v>
      </c>
      <c r="AC144">
        <f t="shared" si="15"/>
        <v>121.1</v>
      </c>
      <c r="AD144">
        <v>113.7</v>
      </c>
      <c r="AE144">
        <v>121.8</v>
      </c>
      <c r="AF144">
        <f t="shared" si="16"/>
        <v>117.75</v>
      </c>
      <c r="AG144">
        <v>132.30000000000001</v>
      </c>
      <c r="AH144">
        <v>121.4</v>
      </c>
      <c r="AI144">
        <v>127.6</v>
      </c>
      <c r="AJ144">
        <f t="shared" si="17"/>
        <v>127.10000000000001</v>
      </c>
    </row>
    <row r="145" spans="1:36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f t="shared" si="14"/>
        <v>134.55714285714285</v>
      </c>
      <c r="S145">
        <v>136.30000000000001</v>
      </c>
      <c r="T145">
        <v>129.80000000000001</v>
      </c>
      <c r="U145">
        <v>135.4</v>
      </c>
      <c r="V145">
        <f t="shared" si="12"/>
        <v>133.83333333333334</v>
      </c>
      <c r="W145">
        <v>146.5</v>
      </c>
      <c r="X145">
        <v>126.6</v>
      </c>
      <c r="Y145">
        <v>129.19999999999999</v>
      </c>
      <c r="Z145">
        <f t="shared" si="13"/>
        <v>134.1</v>
      </c>
      <c r="AA145">
        <v>126.9</v>
      </c>
      <c r="AB145">
        <v>121.1</v>
      </c>
      <c r="AC145">
        <f t="shared" si="15"/>
        <v>124</v>
      </c>
      <c r="AD145">
        <v>116</v>
      </c>
      <c r="AE145">
        <v>124.2</v>
      </c>
      <c r="AF145">
        <f t="shared" si="16"/>
        <v>120.1</v>
      </c>
      <c r="AG145">
        <v>133.1</v>
      </c>
      <c r="AH145">
        <v>123.9</v>
      </c>
      <c r="AI145">
        <v>130.4</v>
      </c>
      <c r="AJ145">
        <f t="shared" si="17"/>
        <v>129.13333333333333</v>
      </c>
    </row>
    <row r="146" spans="1:36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f t="shared" si="14"/>
        <v>134.31428571428572</v>
      </c>
      <c r="S146">
        <v>140.69999999999999</v>
      </c>
      <c r="T146">
        <v>135.80000000000001</v>
      </c>
      <c r="U146">
        <v>140</v>
      </c>
      <c r="V146">
        <f t="shared" si="12"/>
        <v>138.83333333333334</v>
      </c>
      <c r="W146">
        <v>146.5</v>
      </c>
      <c r="X146">
        <v>132.1</v>
      </c>
      <c r="Y146">
        <v>133.19999999999999</v>
      </c>
      <c r="Z146">
        <f t="shared" si="13"/>
        <v>137.26666666666668</v>
      </c>
      <c r="AA146">
        <v>129.9</v>
      </c>
      <c r="AB146">
        <v>122.3</v>
      </c>
      <c r="AC146">
        <f t="shared" si="15"/>
        <v>126.1</v>
      </c>
      <c r="AD146">
        <v>119.1</v>
      </c>
      <c r="AE146">
        <v>127</v>
      </c>
      <c r="AF146">
        <f t="shared" si="16"/>
        <v>123.05</v>
      </c>
      <c r="AG146">
        <v>134.6</v>
      </c>
      <c r="AH146">
        <v>126.6</v>
      </c>
      <c r="AI146">
        <v>132.4</v>
      </c>
      <c r="AJ146">
        <f t="shared" si="17"/>
        <v>131.20000000000002</v>
      </c>
    </row>
    <row r="147" spans="1:36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f t="shared" si="14"/>
        <v>132.77142857142857</v>
      </c>
      <c r="S147">
        <v>130.19999999999999</v>
      </c>
      <c r="T147">
        <v>122.3</v>
      </c>
      <c r="U147">
        <v>129</v>
      </c>
      <c r="V147">
        <f t="shared" si="12"/>
        <v>127.16666666666667</v>
      </c>
      <c r="W147">
        <v>147.69999999999999</v>
      </c>
      <c r="X147">
        <v>118</v>
      </c>
      <c r="Y147">
        <v>125.1</v>
      </c>
      <c r="Z147">
        <f t="shared" si="13"/>
        <v>130.26666666666665</v>
      </c>
      <c r="AA147">
        <v>122.6</v>
      </c>
      <c r="AB147">
        <v>120.9</v>
      </c>
      <c r="AC147">
        <f t="shared" si="15"/>
        <v>121.75</v>
      </c>
      <c r="AD147">
        <v>115.2</v>
      </c>
      <c r="AE147">
        <v>122</v>
      </c>
      <c r="AF147">
        <f t="shared" si="16"/>
        <v>118.6</v>
      </c>
      <c r="AG147">
        <v>132.4</v>
      </c>
      <c r="AH147">
        <v>122.1</v>
      </c>
      <c r="AI147">
        <v>127.8</v>
      </c>
      <c r="AJ147">
        <f t="shared" si="17"/>
        <v>127.43333333333334</v>
      </c>
    </row>
    <row r="148" spans="1:36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f t="shared" si="14"/>
        <v>133.64999999999995</v>
      </c>
      <c r="S148">
        <v>136.6</v>
      </c>
      <c r="T148">
        <v>130.19999999999999</v>
      </c>
      <c r="U148">
        <v>135.6</v>
      </c>
      <c r="V148">
        <f t="shared" si="12"/>
        <v>134.13333333333333</v>
      </c>
      <c r="W148">
        <v>147.69999999999999</v>
      </c>
      <c r="X148">
        <v>126.8</v>
      </c>
      <c r="Y148">
        <v>129.4</v>
      </c>
      <c r="Z148">
        <f t="shared" si="13"/>
        <v>134.63333333333333</v>
      </c>
      <c r="AA148">
        <v>127.1</v>
      </c>
      <c r="AB148">
        <v>121.7</v>
      </c>
      <c r="AC148">
        <f t="shared" si="15"/>
        <v>124.4</v>
      </c>
      <c r="AD148">
        <v>117</v>
      </c>
      <c r="AE148">
        <v>124.2</v>
      </c>
      <c r="AF148">
        <f t="shared" si="16"/>
        <v>120.6</v>
      </c>
      <c r="AG148">
        <v>133.30000000000001</v>
      </c>
      <c r="AH148">
        <v>124.4</v>
      </c>
      <c r="AI148">
        <v>130.30000000000001</v>
      </c>
      <c r="AJ148">
        <f t="shared" si="17"/>
        <v>129.33333333333334</v>
      </c>
    </row>
    <row r="149" spans="1:36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f t="shared" si="14"/>
        <v>134.15714285714287</v>
      </c>
      <c r="S149">
        <v>140.9</v>
      </c>
      <c r="T149">
        <v>135.80000000000001</v>
      </c>
      <c r="U149">
        <v>140.19999999999999</v>
      </c>
      <c r="V149">
        <f t="shared" si="12"/>
        <v>138.96666666666667</v>
      </c>
      <c r="W149">
        <v>148.5</v>
      </c>
      <c r="X149">
        <v>133.19999999999999</v>
      </c>
      <c r="Y149">
        <v>133.6</v>
      </c>
      <c r="Z149">
        <f t="shared" si="13"/>
        <v>138.43333333333331</v>
      </c>
      <c r="AA149">
        <v>130.1</v>
      </c>
      <c r="AB149">
        <v>123.2</v>
      </c>
      <c r="AC149">
        <f t="shared" si="15"/>
        <v>126.65</v>
      </c>
      <c r="AD149">
        <v>119.5</v>
      </c>
      <c r="AE149">
        <v>127.7</v>
      </c>
      <c r="AF149">
        <f t="shared" si="16"/>
        <v>123.6</v>
      </c>
      <c r="AG149">
        <v>134.9</v>
      </c>
      <c r="AH149">
        <v>127</v>
      </c>
      <c r="AI149">
        <v>132.6</v>
      </c>
      <c r="AJ149">
        <f t="shared" si="17"/>
        <v>131.5</v>
      </c>
    </row>
    <row r="150" spans="1:36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f t="shared" si="14"/>
        <v>132.25714285714287</v>
      </c>
      <c r="S150">
        <v>130.5</v>
      </c>
      <c r="T150">
        <v>122.5</v>
      </c>
      <c r="U150">
        <v>129.30000000000001</v>
      </c>
      <c r="V150">
        <f t="shared" si="12"/>
        <v>127.43333333333334</v>
      </c>
      <c r="W150">
        <v>148.5</v>
      </c>
      <c r="X150">
        <v>119.2</v>
      </c>
      <c r="Y150">
        <v>125.3</v>
      </c>
      <c r="Z150">
        <f t="shared" si="13"/>
        <v>131</v>
      </c>
      <c r="AA150">
        <v>122.9</v>
      </c>
      <c r="AB150">
        <v>121.7</v>
      </c>
      <c r="AC150">
        <f t="shared" si="15"/>
        <v>122.30000000000001</v>
      </c>
      <c r="AD150">
        <v>115.5</v>
      </c>
      <c r="AE150">
        <v>122.2</v>
      </c>
      <c r="AF150">
        <f t="shared" si="16"/>
        <v>118.85</v>
      </c>
      <c r="AG150">
        <v>132.4</v>
      </c>
      <c r="AH150">
        <v>122.4</v>
      </c>
      <c r="AI150">
        <v>128.19999999999999</v>
      </c>
      <c r="AJ150">
        <f t="shared" si="17"/>
        <v>127.66666666666667</v>
      </c>
    </row>
    <row r="151" spans="1:36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f t="shared" si="14"/>
        <v>133.33571428571432</v>
      </c>
      <c r="S151">
        <v>136.80000000000001</v>
      </c>
      <c r="T151">
        <v>130.30000000000001</v>
      </c>
      <c r="U151">
        <v>135.9</v>
      </c>
      <c r="V151">
        <f t="shared" si="12"/>
        <v>134.33333333333334</v>
      </c>
      <c r="W151">
        <v>149</v>
      </c>
      <c r="X151">
        <v>127.9</v>
      </c>
      <c r="Y151">
        <v>129.69999999999999</v>
      </c>
      <c r="Z151">
        <f t="shared" si="13"/>
        <v>135.53333333333333</v>
      </c>
      <c r="AA151">
        <v>127.4</v>
      </c>
      <c r="AB151">
        <v>122.6</v>
      </c>
      <c r="AC151">
        <f t="shared" si="15"/>
        <v>125</v>
      </c>
      <c r="AD151">
        <v>117.4</v>
      </c>
      <c r="AE151">
        <v>124.6</v>
      </c>
      <c r="AF151">
        <f t="shared" si="16"/>
        <v>121</v>
      </c>
      <c r="AG151">
        <v>133.4</v>
      </c>
      <c r="AH151">
        <v>124.8</v>
      </c>
      <c r="AI151">
        <v>130.6</v>
      </c>
      <c r="AJ151">
        <f t="shared" si="17"/>
        <v>129.6</v>
      </c>
    </row>
    <row r="152" spans="1:36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f t="shared" si="14"/>
        <v>133.76428571428573</v>
      </c>
      <c r="S152">
        <v>141.6</v>
      </c>
      <c r="T152">
        <v>136.19999999999999</v>
      </c>
      <c r="U152">
        <v>140.80000000000001</v>
      </c>
      <c r="V152">
        <f t="shared" si="12"/>
        <v>139.53333333333333</v>
      </c>
      <c r="W152">
        <v>149</v>
      </c>
      <c r="X152">
        <v>134.19999999999999</v>
      </c>
      <c r="Y152">
        <v>134.1</v>
      </c>
      <c r="Z152">
        <f t="shared" si="13"/>
        <v>139.1</v>
      </c>
      <c r="AA152">
        <v>130.6</v>
      </c>
      <c r="AB152">
        <v>123.3</v>
      </c>
      <c r="AC152">
        <f t="shared" si="15"/>
        <v>126.94999999999999</v>
      </c>
      <c r="AD152">
        <v>119.8</v>
      </c>
      <c r="AE152">
        <v>128.30000000000001</v>
      </c>
      <c r="AF152">
        <f t="shared" si="16"/>
        <v>124.05000000000001</v>
      </c>
      <c r="AG152">
        <v>135.19999999999999</v>
      </c>
      <c r="AH152">
        <v>127.4</v>
      </c>
      <c r="AI152">
        <v>132.80000000000001</v>
      </c>
      <c r="AJ152">
        <f t="shared" si="17"/>
        <v>131.80000000000001</v>
      </c>
    </row>
    <row r="153" spans="1:36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f t="shared" si="14"/>
        <v>132.37142857142857</v>
      </c>
      <c r="S153">
        <v>130.80000000000001</v>
      </c>
      <c r="T153">
        <v>122.8</v>
      </c>
      <c r="U153">
        <v>129.6</v>
      </c>
      <c r="V153">
        <f t="shared" si="12"/>
        <v>127.73333333333335</v>
      </c>
      <c r="W153">
        <v>150.1</v>
      </c>
      <c r="X153">
        <v>120.8</v>
      </c>
      <c r="Y153">
        <v>125.6</v>
      </c>
      <c r="Z153">
        <f t="shared" si="13"/>
        <v>132.16666666666666</v>
      </c>
      <c r="AA153">
        <v>123.1</v>
      </c>
      <c r="AB153">
        <v>121.7</v>
      </c>
      <c r="AC153">
        <f t="shared" si="15"/>
        <v>122.4</v>
      </c>
      <c r="AD153">
        <v>115.6</v>
      </c>
      <c r="AE153">
        <v>122.4</v>
      </c>
      <c r="AF153">
        <f t="shared" si="16"/>
        <v>119</v>
      </c>
      <c r="AG153">
        <v>132.80000000000001</v>
      </c>
      <c r="AH153">
        <v>122.6</v>
      </c>
      <c r="AI153">
        <v>128.69999999999999</v>
      </c>
      <c r="AJ153">
        <f t="shared" si="17"/>
        <v>128.03333333333333</v>
      </c>
    </row>
    <row r="154" spans="1:36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f t="shared" si="14"/>
        <v>133.14285714285714</v>
      </c>
      <c r="S154">
        <v>137.30000000000001</v>
      </c>
      <c r="T154">
        <v>130.6</v>
      </c>
      <c r="U154">
        <v>136.4</v>
      </c>
      <c r="V154">
        <f t="shared" si="12"/>
        <v>134.76666666666665</v>
      </c>
      <c r="W154">
        <v>150.1</v>
      </c>
      <c r="X154">
        <v>129.1</v>
      </c>
      <c r="Y154">
        <v>130.1</v>
      </c>
      <c r="Z154">
        <f t="shared" si="13"/>
        <v>136.43333333333331</v>
      </c>
      <c r="AA154">
        <v>127.8</v>
      </c>
      <c r="AB154">
        <v>122.6</v>
      </c>
      <c r="AC154">
        <f t="shared" si="15"/>
        <v>125.19999999999999</v>
      </c>
      <c r="AD154">
        <v>117.6</v>
      </c>
      <c r="AE154">
        <v>125</v>
      </c>
      <c r="AF154">
        <f t="shared" si="16"/>
        <v>121.3</v>
      </c>
      <c r="AG154">
        <v>133.80000000000001</v>
      </c>
      <c r="AH154">
        <v>125.1</v>
      </c>
      <c r="AI154">
        <v>130.9</v>
      </c>
      <c r="AJ154">
        <f t="shared" si="17"/>
        <v>129.93333333333331</v>
      </c>
    </row>
    <row r="155" spans="1:36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f t="shared" si="14"/>
        <v>133.62142857142857</v>
      </c>
      <c r="S155">
        <v>142.4</v>
      </c>
      <c r="T155">
        <v>136.80000000000001</v>
      </c>
      <c r="U155">
        <v>141.6</v>
      </c>
      <c r="V155">
        <f t="shared" si="12"/>
        <v>140.26666666666668</v>
      </c>
      <c r="W155">
        <v>149.4</v>
      </c>
      <c r="X155">
        <v>135</v>
      </c>
      <c r="Y155">
        <v>134.30000000000001</v>
      </c>
      <c r="Z155">
        <f t="shared" si="13"/>
        <v>139.56666666666666</v>
      </c>
      <c r="AA155">
        <v>131</v>
      </c>
      <c r="AB155">
        <v>123.7</v>
      </c>
      <c r="AC155">
        <f t="shared" si="15"/>
        <v>127.35</v>
      </c>
      <c r="AD155">
        <v>119.2</v>
      </c>
      <c r="AE155">
        <v>128.30000000000001</v>
      </c>
      <c r="AF155">
        <f t="shared" si="16"/>
        <v>123.75</v>
      </c>
      <c r="AG155">
        <v>135.69999999999999</v>
      </c>
      <c r="AH155">
        <v>127.5</v>
      </c>
      <c r="AI155">
        <v>132.9</v>
      </c>
      <c r="AJ155">
        <f t="shared" si="17"/>
        <v>132.03333333333333</v>
      </c>
    </row>
    <row r="156" spans="1:36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f t="shared" si="14"/>
        <v>132.57857142857142</v>
      </c>
      <c r="S156">
        <v>131.19999999999999</v>
      </c>
      <c r="T156">
        <v>123</v>
      </c>
      <c r="U156">
        <v>130</v>
      </c>
      <c r="V156">
        <f t="shared" si="12"/>
        <v>128.06666666666666</v>
      </c>
      <c r="W156">
        <v>149.4</v>
      </c>
      <c r="X156">
        <v>121.4</v>
      </c>
      <c r="Y156">
        <v>126</v>
      </c>
      <c r="Z156">
        <f t="shared" si="13"/>
        <v>132.26666666666668</v>
      </c>
      <c r="AA156">
        <v>123.4</v>
      </c>
      <c r="AB156">
        <v>122.2</v>
      </c>
      <c r="AC156">
        <f t="shared" si="15"/>
        <v>122.80000000000001</v>
      </c>
      <c r="AD156">
        <v>114.3</v>
      </c>
      <c r="AE156">
        <v>122.6</v>
      </c>
      <c r="AF156">
        <f t="shared" si="16"/>
        <v>118.44999999999999</v>
      </c>
      <c r="AG156">
        <v>133.6</v>
      </c>
      <c r="AH156">
        <v>122.5</v>
      </c>
      <c r="AI156">
        <v>129.1</v>
      </c>
      <c r="AJ156">
        <f t="shared" si="17"/>
        <v>128.4</v>
      </c>
    </row>
    <row r="157" spans="1:36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f t="shared" si="14"/>
        <v>133.12857142857143</v>
      </c>
      <c r="S157">
        <v>138</v>
      </c>
      <c r="T157">
        <v>131.1</v>
      </c>
      <c r="U157">
        <v>137</v>
      </c>
      <c r="V157">
        <f t="shared" si="12"/>
        <v>135.36666666666667</v>
      </c>
      <c r="W157">
        <v>150.6</v>
      </c>
      <c r="X157">
        <v>129.80000000000001</v>
      </c>
      <c r="Y157">
        <v>130.4</v>
      </c>
      <c r="Z157">
        <f t="shared" si="13"/>
        <v>136.93333333333331</v>
      </c>
      <c r="AA157">
        <v>128.1</v>
      </c>
      <c r="AB157">
        <v>123.1</v>
      </c>
      <c r="AC157">
        <f t="shared" si="15"/>
        <v>125.6</v>
      </c>
      <c r="AD157">
        <v>116.6</v>
      </c>
      <c r="AE157">
        <v>125.1</v>
      </c>
      <c r="AF157">
        <f t="shared" si="16"/>
        <v>120.85</v>
      </c>
      <c r="AG157">
        <v>134.5</v>
      </c>
      <c r="AH157">
        <v>125.1</v>
      </c>
      <c r="AI157">
        <v>131.1</v>
      </c>
      <c r="AJ157">
        <f t="shared" si="17"/>
        <v>130.23333333333335</v>
      </c>
    </row>
    <row r="158" spans="1:36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f t="shared" si="14"/>
        <v>133.78571428571425</v>
      </c>
      <c r="S158">
        <v>142.5</v>
      </c>
      <c r="T158">
        <v>137.30000000000001</v>
      </c>
      <c r="U158">
        <v>141.80000000000001</v>
      </c>
      <c r="V158">
        <f t="shared" si="12"/>
        <v>140.53333333333333</v>
      </c>
      <c r="W158">
        <v>150.6</v>
      </c>
      <c r="X158">
        <v>135</v>
      </c>
      <c r="Y158">
        <v>134.9</v>
      </c>
      <c r="Z158">
        <f t="shared" si="13"/>
        <v>140.16666666666666</v>
      </c>
      <c r="AA158">
        <v>131.4</v>
      </c>
      <c r="AB158">
        <v>123.7</v>
      </c>
      <c r="AC158">
        <f t="shared" si="15"/>
        <v>127.55000000000001</v>
      </c>
      <c r="AD158">
        <v>119.4</v>
      </c>
      <c r="AE158">
        <v>129.4</v>
      </c>
      <c r="AF158">
        <f t="shared" si="16"/>
        <v>124.4</v>
      </c>
      <c r="AG158">
        <v>136.30000000000001</v>
      </c>
      <c r="AH158">
        <v>127.9</v>
      </c>
      <c r="AI158">
        <v>133.30000000000001</v>
      </c>
      <c r="AJ158">
        <f t="shared" si="17"/>
        <v>132.50000000000003</v>
      </c>
    </row>
    <row r="159" spans="1:36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f t="shared" si="14"/>
        <v>132.70714285714286</v>
      </c>
      <c r="S159">
        <v>131.5</v>
      </c>
      <c r="T159">
        <v>123.2</v>
      </c>
      <c r="U159">
        <v>130.19999999999999</v>
      </c>
      <c r="V159">
        <f t="shared" si="12"/>
        <v>128.29999999999998</v>
      </c>
      <c r="W159">
        <v>151.6</v>
      </c>
      <c r="X159">
        <v>120.1</v>
      </c>
      <c r="Y159">
        <v>126.5</v>
      </c>
      <c r="Z159">
        <f t="shared" si="13"/>
        <v>132.73333333333332</v>
      </c>
      <c r="AA159">
        <v>123.6</v>
      </c>
      <c r="AB159">
        <v>122</v>
      </c>
      <c r="AC159">
        <f t="shared" si="15"/>
        <v>122.8</v>
      </c>
      <c r="AD159">
        <v>114.3</v>
      </c>
      <c r="AE159">
        <v>122.8</v>
      </c>
      <c r="AF159">
        <f t="shared" si="16"/>
        <v>118.55</v>
      </c>
      <c r="AG159">
        <v>133.80000000000001</v>
      </c>
      <c r="AH159">
        <v>122.6</v>
      </c>
      <c r="AI159">
        <v>129.30000000000001</v>
      </c>
      <c r="AJ159">
        <f t="shared" si="17"/>
        <v>128.56666666666666</v>
      </c>
    </row>
    <row r="160" spans="1:36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f t="shared" si="14"/>
        <v>133.27142857142857</v>
      </c>
      <c r="S160">
        <v>138.19999999999999</v>
      </c>
      <c r="T160">
        <v>131.4</v>
      </c>
      <c r="U160">
        <v>137.19999999999999</v>
      </c>
      <c r="V160">
        <f t="shared" si="12"/>
        <v>135.6</v>
      </c>
      <c r="W160">
        <v>151.6</v>
      </c>
      <c r="X160">
        <v>129.4</v>
      </c>
      <c r="Y160">
        <v>130.9</v>
      </c>
      <c r="Z160">
        <f t="shared" si="13"/>
        <v>137.29999999999998</v>
      </c>
      <c r="AA160">
        <v>128.4</v>
      </c>
      <c r="AB160">
        <v>123</v>
      </c>
      <c r="AC160">
        <f t="shared" si="15"/>
        <v>125.7</v>
      </c>
      <c r="AD160">
        <v>116.7</v>
      </c>
      <c r="AE160">
        <v>125.7</v>
      </c>
      <c r="AF160">
        <f t="shared" si="16"/>
        <v>121.2</v>
      </c>
      <c r="AG160">
        <v>134.80000000000001</v>
      </c>
      <c r="AH160">
        <v>125.3</v>
      </c>
      <c r="AI160">
        <v>131.4</v>
      </c>
      <c r="AJ160">
        <f t="shared" si="17"/>
        <v>130.5</v>
      </c>
    </row>
    <row r="161" spans="1:36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f t="shared" si="14"/>
        <v>134.61428571428573</v>
      </c>
      <c r="S161">
        <v>143.1</v>
      </c>
      <c r="T161">
        <v>137.69999999999999</v>
      </c>
      <c r="U161">
        <v>142.30000000000001</v>
      </c>
      <c r="V161">
        <f t="shared" si="12"/>
        <v>141.03333333333333</v>
      </c>
      <c r="W161">
        <v>152.19999999999999</v>
      </c>
      <c r="X161">
        <v>134.80000000000001</v>
      </c>
      <c r="Y161">
        <v>135.19999999999999</v>
      </c>
      <c r="Z161">
        <f t="shared" si="13"/>
        <v>140.73333333333332</v>
      </c>
      <c r="AA161">
        <v>131.30000000000001</v>
      </c>
      <c r="AB161">
        <v>124.1</v>
      </c>
      <c r="AC161">
        <f t="shared" si="15"/>
        <v>127.7</v>
      </c>
      <c r="AD161">
        <v>119.4</v>
      </c>
      <c r="AE161">
        <v>129.80000000000001</v>
      </c>
      <c r="AF161">
        <f t="shared" si="16"/>
        <v>124.60000000000001</v>
      </c>
      <c r="AG161">
        <v>136.9</v>
      </c>
      <c r="AH161">
        <v>128.1</v>
      </c>
      <c r="AI161">
        <v>133.9</v>
      </c>
      <c r="AJ161">
        <f t="shared" si="17"/>
        <v>132.96666666666667</v>
      </c>
    </row>
    <row r="162" spans="1:36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f t="shared" si="14"/>
        <v>134.25714285714287</v>
      </c>
      <c r="S162">
        <v>131.5</v>
      </c>
      <c r="T162">
        <v>123.2</v>
      </c>
      <c r="U162">
        <v>130.19999999999999</v>
      </c>
      <c r="V162">
        <f t="shared" si="12"/>
        <v>128.29999999999998</v>
      </c>
      <c r="W162">
        <v>152.19999999999999</v>
      </c>
      <c r="X162">
        <v>119</v>
      </c>
      <c r="Y162">
        <v>126.8</v>
      </c>
      <c r="Z162">
        <f t="shared" si="13"/>
        <v>132.66666666666666</v>
      </c>
      <c r="AA162">
        <v>123.8</v>
      </c>
      <c r="AB162">
        <v>122.5</v>
      </c>
      <c r="AC162">
        <f t="shared" si="15"/>
        <v>123.15</v>
      </c>
      <c r="AD162">
        <v>113.9</v>
      </c>
      <c r="AE162">
        <v>122.9</v>
      </c>
      <c r="AF162">
        <f t="shared" si="16"/>
        <v>118.4</v>
      </c>
      <c r="AG162">
        <v>134.30000000000001</v>
      </c>
      <c r="AH162">
        <v>122.7</v>
      </c>
      <c r="AI162">
        <v>129.9</v>
      </c>
      <c r="AJ162">
        <f t="shared" si="17"/>
        <v>128.96666666666667</v>
      </c>
    </row>
    <row r="163" spans="1:36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f t="shared" si="14"/>
        <v>134.37142857142857</v>
      </c>
      <c r="S163">
        <v>138.5</v>
      </c>
      <c r="T163">
        <v>131.69999999999999</v>
      </c>
      <c r="U163">
        <v>137.5</v>
      </c>
      <c r="V163">
        <f t="shared" si="12"/>
        <v>135.9</v>
      </c>
      <c r="W163">
        <v>153</v>
      </c>
      <c r="X163">
        <v>128.80000000000001</v>
      </c>
      <c r="Y163">
        <v>131.19999999999999</v>
      </c>
      <c r="Z163">
        <f t="shared" si="13"/>
        <v>137.66666666666666</v>
      </c>
      <c r="AA163">
        <v>128.5</v>
      </c>
      <c r="AB163">
        <v>123.4</v>
      </c>
      <c r="AC163">
        <f t="shared" si="15"/>
        <v>125.95</v>
      </c>
      <c r="AD163">
        <v>116.5</v>
      </c>
      <c r="AE163">
        <v>125.9</v>
      </c>
      <c r="AF163">
        <f t="shared" si="16"/>
        <v>121.2</v>
      </c>
      <c r="AG163">
        <v>135.4</v>
      </c>
      <c r="AH163">
        <v>125.5</v>
      </c>
      <c r="AI163">
        <v>132</v>
      </c>
      <c r="AJ163">
        <f t="shared" si="17"/>
        <v>130.96666666666667</v>
      </c>
    </row>
    <row r="164" spans="1:36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f t="shared" si="14"/>
        <v>137.16428571428574</v>
      </c>
      <c r="S164">
        <v>144.30000000000001</v>
      </c>
      <c r="T164">
        <v>138.1</v>
      </c>
      <c r="U164">
        <v>143.5</v>
      </c>
      <c r="V164">
        <f t="shared" si="12"/>
        <v>141.96666666666667</v>
      </c>
      <c r="W164">
        <v>153</v>
      </c>
      <c r="X164">
        <v>135.30000000000001</v>
      </c>
      <c r="Y164">
        <v>136.1</v>
      </c>
      <c r="Z164">
        <f t="shared" si="13"/>
        <v>141.46666666666667</v>
      </c>
      <c r="AA164">
        <v>132.1</v>
      </c>
      <c r="AB164">
        <v>124.4</v>
      </c>
      <c r="AC164">
        <f t="shared" si="15"/>
        <v>128.25</v>
      </c>
      <c r="AD164">
        <v>119.1</v>
      </c>
      <c r="AE164">
        <v>130.6</v>
      </c>
      <c r="AF164">
        <f t="shared" si="16"/>
        <v>124.85</v>
      </c>
      <c r="AG164">
        <v>138.6</v>
      </c>
      <c r="AH164">
        <v>128.6</v>
      </c>
      <c r="AI164">
        <v>136.19999999999999</v>
      </c>
      <c r="AJ164">
        <f t="shared" si="17"/>
        <v>134.46666666666667</v>
      </c>
    </row>
    <row r="165" spans="1:36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f t="shared" si="14"/>
        <v>137.04285714285714</v>
      </c>
      <c r="S165">
        <v>131.6</v>
      </c>
      <c r="T165">
        <v>123.7</v>
      </c>
      <c r="U165">
        <v>130.4</v>
      </c>
      <c r="V165">
        <f t="shared" si="12"/>
        <v>128.56666666666669</v>
      </c>
      <c r="W165">
        <v>153.5</v>
      </c>
      <c r="X165">
        <v>119.7</v>
      </c>
      <c r="Y165">
        <v>127.2</v>
      </c>
      <c r="Z165">
        <f t="shared" si="13"/>
        <v>133.46666666666667</v>
      </c>
      <c r="AA165">
        <v>125</v>
      </c>
      <c r="AB165">
        <v>122.4</v>
      </c>
      <c r="AC165">
        <f t="shared" si="15"/>
        <v>123.7</v>
      </c>
      <c r="AD165">
        <v>113.2</v>
      </c>
      <c r="AE165">
        <v>123.5</v>
      </c>
      <c r="AF165">
        <f t="shared" si="16"/>
        <v>118.35</v>
      </c>
      <c r="AG165">
        <v>135.5</v>
      </c>
      <c r="AH165">
        <v>123</v>
      </c>
      <c r="AI165">
        <v>131.80000000000001</v>
      </c>
      <c r="AJ165">
        <f t="shared" si="17"/>
        <v>130.1</v>
      </c>
    </row>
    <row r="166" spans="1:36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f t="shared" si="14"/>
        <v>136.97142857142856</v>
      </c>
      <c r="S166">
        <v>139.30000000000001</v>
      </c>
      <c r="T166">
        <v>132.1</v>
      </c>
      <c r="U166">
        <v>138.30000000000001</v>
      </c>
      <c r="V166">
        <f t="shared" si="12"/>
        <v>136.56666666666666</v>
      </c>
      <c r="W166">
        <v>153.5</v>
      </c>
      <c r="X166">
        <v>129.4</v>
      </c>
      <c r="Y166">
        <v>131.9</v>
      </c>
      <c r="Z166">
        <f t="shared" si="13"/>
        <v>138.26666666666665</v>
      </c>
      <c r="AA166">
        <v>129.4</v>
      </c>
      <c r="AB166">
        <v>123.6</v>
      </c>
      <c r="AC166">
        <f t="shared" si="15"/>
        <v>126.5</v>
      </c>
      <c r="AD166">
        <v>116</v>
      </c>
      <c r="AE166">
        <v>126.6</v>
      </c>
      <c r="AF166">
        <f t="shared" si="16"/>
        <v>121.3</v>
      </c>
      <c r="AG166">
        <v>136.80000000000001</v>
      </c>
      <c r="AH166">
        <v>125.9</v>
      </c>
      <c r="AI166">
        <v>134.19999999999999</v>
      </c>
      <c r="AJ166">
        <f t="shared" si="17"/>
        <v>132.30000000000001</v>
      </c>
    </row>
    <row r="167" spans="1:36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f t="shared" si="14"/>
        <v>138.67857142857142</v>
      </c>
      <c r="S167">
        <v>145.30000000000001</v>
      </c>
      <c r="T167">
        <v>139.19999999999999</v>
      </c>
      <c r="U167">
        <v>144.5</v>
      </c>
      <c r="V167">
        <f t="shared" si="12"/>
        <v>143</v>
      </c>
      <c r="W167">
        <v>152.80000000000001</v>
      </c>
      <c r="X167">
        <v>136.4</v>
      </c>
      <c r="Y167">
        <v>137.30000000000001</v>
      </c>
      <c r="Z167">
        <f t="shared" si="13"/>
        <v>142.16666666666669</v>
      </c>
      <c r="AA167">
        <v>133</v>
      </c>
      <c r="AB167">
        <v>125.4</v>
      </c>
      <c r="AC167">
        <f t="shared" si="15"/>
        <v>129.19999999999999</v>
      </c>
      <c r="AD167">
        <v>120.3</v>
      </c>
      <c r="AE167">
        <v>131.5</v>
      </c>
      <c r="AF167">
        <f t="shared" si="16"/>
        <v>125.9</v>
      </c>
      <c r="AG167">
        <v>140.19999999999999</v>
      </c>
      <c r="AH167">
        <v>129.69999999999999</v>
      </c>
      <c r="AI167">
        <v>137.80000000000001</v>
      </c>
      <c r="AJ167">
        <f t="shared" si="17"/>
        <v>135.9</v>
      </c>
    </row>
    <row r="168" spans="1:36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f t="shared" si="14"/>
        <v>137.50714285714284</v>
      </c>
      <c r="S168">
        <v>132.69999999999999</v>
      </c>
      <c r="T168">
        <v>124.3</v>
      </c>
      <c r="U168">
        <v>131.4</v>
      </c>
      <c r="V168">
        <f t="shared" si="12"/>
        <v>129.46666666666667</v>
      </c>
      <c r="W168">
        <v>152.80000000000001</v>
      </c>
      <c r="X168">
        <v>118.9</v>
      </c>
      <c r="Y168">
        <v>127.7</v>
      </c>
      <c r="Z168">
        <f t="shared" si="13"/>
        <v>133.13333333333335</v>
      </c>
      <c r="AA168">
        <v>125.7</v>
      </c>
      <c r="AB168">
        <v>123.3</v>
      </c>
      <c r="AC168">
        <f t="shared" si="15"/>
        <v>124.5</v>
      </c>
      <c r="AD168">
        <v>114.6</v>
      </c>
      <c r="AE168">
        <v>124.1</v>
      </c>
      <c r="AF168">
        <f t="shared" si="16"/>
        <v>119.35</v>
      </c>
      <c r="AG168">
        <v>135.69999999999999</v>
      </c>
      <c r="AH168">
        <v>123.8</v>
      </c>
      <c r="AI168">
        <v>132.69999999999999</v>
      </c>
      <c r="AJ168">
        <f t="shared" si="17"/>
        <v>130.73333333333332</v>
      </c>
    </row>
    <row r="169" spans="1:36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f t="shared" si="14"/>
        <v>138.1142857142857</v>
      </c>
      <c r="S169">
        <v>140.30000000000001</v>
      </c>
      <c r="T169">
        <v>133</v>
      </c>
      <c r="U169">
        <v>139.30000000000001</v>
      </c>
      <c r="V169">
        <f t="shared" si="12"/>
        <v>137.53333333333333</v>
      </c>
      <c r="W169">
        <v>153.9</v>
      </c>
      <c r="X169">
        <v>129.80000000000001</v>
      </c>
      <c r="Y169">
        <v>132.80000000000001</v>
      </c>
      <c r="Z169">
        <f t="shared" si="13"/>
        <v>138.83333333333334</v>
      </c>
      <c r="AA169">
        <v>130.19999999999999</v>
      </c>
      <c r="AB169">
        <v>124.5</v>
      </c>
      <c r="AC169">
        <f t="shared" si="15"/>
        <v>127.35</v>
      </c>
      <c r="AD169">
        <v>117.3</v>
      </c>
      <c r="AE169">
        <v>127.3</v>
      </c>
      <c r="AF169">
        <f t="shared" si="16"/>
        <v>122.3</v>
      </c>
      <c r="AG169">
        <v>137.6</v>
      </c>
      <c r="AH169">
        <v>126.8</v>
      </c>
      <c r="AI169">
        <v>135.4</v>
      </c>
      <c r="AJ169">
        <f t="shared" si="17"/>
        <v>133.26666666666665</v>
      </c>
    </row>
    <row r="170" spans="1:36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f t="shared" si="14"/>
        <v>138.15</v>
      </c>
      <c r="S170">
        <v>146.1</v>
      </c>
      <c r="T170">
        <v>139.69999999999999</v>
      </c>
      <c r="U170">
        <v>145.19999999999999</v>
      </c>
      <c r="V170">
        <f t="shared" si="12"/>
        <v>143.66666666666666</v>
      </c>
      <c r="W170">
        <v>153.9</v>
      </c>
      <c r="X170">
        <v>137.4</v>
      </c>
      <c r="Y170">
        <v>137.9</v>
      </c>
      <c r="Z170">
        <f t="shared" si="13"/>
        <v>143.06666666666669</v>
      </c>
      <c r="AA170">
        <v>133.4</v>
      </c>
      <c r="AB170">
        <v>126.7</v>
      </c>
      <c r="AC170">
        <f t="shared" si="15"/>
        <v>130.05000000000001</v>
      </c>
      <c r="AD170">
        <v>121.2</v>
      </c>
      <c r="AE170">
        <v>132.30000000000001</v>
      </c>
      <c r="AF170">
        <f t="shared" si="16"/>
        <v>126.75</v>
      </c>
      <c r="AG170">
        <v>139.6</v>
      </c>
      <c r="AH170">
        <v>130.30000000000001</v>
      </c>
      <c r="AI170">
        <v>137.6</v>
      </c>
      <c r="AJ170">
        <f t="shared" si="17"/>
        <v>135.83333333333334</v>
      </c>
    </row>
    <row r="171" spans="1:36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f t="shared" si="14"/>
        <v>135.94999999999999</v>
      </c>
      <c r="S171">
        <v>133.30000000000001</v>
      </c>
      <c r="T171">
        <v>124.6</v>
      </c>
      <c r="U171">
        <v>132</v>
      </c>
      <c r="V171">
        <f t="shared" si="12"/>
        <v>129.96666666666667</v>
      </c>
      <c r="W171">
        <v>154.80000000000001</v>
      </c>
      <c r="X171">
        <v>120.6</v>
      </c>
      <c r="Y171">
        <v>128.1</v>
      </c>
      <c r="Z171">
        <f t="shared" si="13"/>
        <v>134.5</v>
      </c>
      <c r="AA171">
        <v>126.1</v>
      </c>
      <c r="AB171">
        <v>124.4</v>
      </c>
      <c r="AC171">
        <f t="shared" si="15"/>
        <v>125.25</v>
      </c>
      <c r="AD171">
        <v>115.7</v>
      </c>
      <c r="AE171">
        <v>124.5</v>
      </c>
      <c r="AF171">
        <f t="shared" si="16"/>
        <v>120.1</v>
      </c>
      <c r="AG171">
        <v>135.9</v>
      </c>
      <c r="AH171">
        <v>124.5</v>
      </c>
      <c r="AI171">
        <v>132.4</v>
      </c>
      <c r="AJ171">
        <f t="shared" si="17"/>
        <v>130.93333333333331</v>
      </c>
    </row>
    <row r="172" spans="1:36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f t="shared" si="14"/>
        <v>137.19999999999999</v>
      </c>
      <c r="S172">
        <v>141.1</v>
      </c>
      <c r="T172">
        <v>133.4</v>
      </c>
      <c r="U172">
        <v>140</v>
      </c>
      <c r="V172">
        <f t="shared" si="12"/>
        <v>138.16666666666666</v>
      </c>
      <c r="W172">
        <v>154.80000000000001</v>
      </c>
      <c r="X172">
        <v>131</v>
      </c>
      <c r="Y172">
        <v>133.30000000000001</v>
      </c>
      <c r="Z172">
        <f t="shared" si="13"/>
        <v>139.70000000000002</v>
      </c>
      <c r="AA172">
        <v>130.6</v>
      </c>
      <c r="AB172">
        <v>125.7</v>
      </c>
      <c r="AC172">
        <f t="shared" si="15"/>
        <v>128.15</v>
      </c>
      <c r="AD172">
        <v>118.3</v>
      </c>
      <c r="AE172">
        <v>127.9</v>
      </c>
      <c r="AF172">
        <f t="shared" si="16"/>
        <v>123.1</v>
      </c>
      <c r="AG172">
        <v>137.4</v>
      </c>
      <c r="AH172">
        <v>127.5</v>
      </c>
      <c r="AI172">
        <v>135.19999999999999</v>
      </c>
      <c r="AJ172">
        <f t="shared" si="17"/>
        <v>133.36666666666665</v>
      </c>
    </row>
    <row r="173" spans="1:36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f t="shared" si="14"/>
        <v>138.67142857142855</v>
      </c>
      <c r="S173">
        <v>147.19999999999999</v>
      </c>
      <c r="T173">
        <v>140.6</v>
      </c>
      <c r="U173">
        <v>146.19999999999999</v>
      </c>
      <c r="V173">
        <f t="shared" si="12"/>
        <v>144.66666666666666</v>
      </c>
      <c r="W173">
        <v>154.5</v>
      </c>
      <c r="X173">
        <v>138.1</v>
      </c>
      <c r="Y173">
        <v>138.4</v>
      </c>
      <c r="Z173">
        <f t="shared" si="13"/>
        <v>143.66666666666666</v>
      </c>
      <c r="AA173">
        <v>134.19999999999999</v>
      </c>
      <c r="AB173">
        <v>127.4</v>
      </c>
      <c r="AC173">
        <f t="shared" si="15"/>
        <v>130.80000000000001</v>
      </c>
      <c r="AD173">
        <v>121</v>
      </c>
      <c r="AE173">
        <v>133</v>
      </c>
      <c r="AF173">
        <f t="shared" si="16"/>
        <v>127</v>
      </c>
      <c r="AG173">
        <v>140.1</v>
      </c>
      <c r="AH173">
        <v>130.69999999999999</v>
      </c>
      <c r="AI173">
        <v>138.30000000000001</v>
      </c>
      <c r="AJ173">
        <f t="shared" si="17"/>
        <v>136.36666666666665</v>
      </c>
    </row>
    <row r="174" spans="1:36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f t="shared" si="14"/>
        <v>137.16428571428568</v>
      </c>
      <c r="S174">
        <v>134</v>
      </c>
      <c r="T174">
        <v>124.9</v>
      </c>
      <c r="U174">
        <v>132.6</v>
      </c>
      <c r="V174">
        <f t="shared" si="12"/>
        <v>130.5</v>
      </c>
      <c r="W174">
        <v>154.5</v>
      </c>
      <c r="X174">
        <v>122.6</v>
      </c>
      <c r="Y174">
        <v>128.30000000000001</v>
      </c>
      <c r="Z174">
        <f t="shared" si="13"/>
        <v>135.13333333333335</v>
      </c>
      <c r="AA174">
        <v>126.6</v>
      </c>
      <c r="AB174">
        <v>124.6</v>
      </c>
      <c r="AC174">
        <f t="shared" si="15"/>
        <v>125.6</v>
      </c>
      <c r="AD174">
        <v>115</v>
      </c>
      <c r="AE174">
        <v>124.8</v>
      </c>
      <c r="AF174">
        <f t="shared" si="16"/>
        <v>119.9</v>
      </c>
      <c r="AG174">
        <v>136.30000000000001</v>
      </c>
      <c r="AH174">
        <v>124.5</v>
      </c>
      <c r="AI174">
        <v>133.5</v>
      </c>
      <c r="AJ174">
        <f t="shared" si="17"/>
        <v>131.43333333333334</v>
      </c>
    </row>
    <row r="175" spans="1:36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f t="shared" si="14"/>
        <v>137.94999999999999</v>
      </c>
      <c r="S175">
        <v>142</v>
      </c>
      <c r="T175">
        <v>134.1</v>
      </c>
      <c r="U175">
        <v>140.80000000000001</v>
      </c>
      <c r="V175">
        <f t="shared" si="12"/>
        <v>138.96666666666667</v>
      </c>
      <c r="W175">
        <v>155.6</v>
      </c>
      <c r="X175">
        <v>132.19999999999999</v>
      </c>
      <c r="Y175">
        <v>133.6</v>
      </c>
      <c r="Z175">
        <f t="shared" si="13"/>
        <v>140.46666666666667</v>
      </c>
      <c r="AA175">
        <v>131.30000000000001</v>
      </c>
      <c r="AB175">
        <v>126.2</v>
      </c>
      <c r="AC175">
        <f t="shared" si="15"/>
        <v>128.75</v>
      </c>
      <c r="AD175">
        <v>117.8</v>
      </c>
      <c r="AE175">
        <v>128.4</v>
      </c>
      <c r="AF175">
        <f t="shared" si="16"/>
        <v>123.1</v>
      </c>
      <c r="AG175">
        <v>137.9</v>
      </c>
      <c r="AH175">
        <v>127.7</v>
      </c>
      <c r="AI175">
        <v>136.1</v>
      </c>
      <c r="AJ175">
        <f t="shared" si="17"/>
        <v>133.9</v>
      </c>
    </row>
    <row r="176" spans="1:36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f t="shared" si="14"/>
        <v>140.70000000000002</v>
      </c>
      <c r="S176">
        <v>148.19999999999999</v>
      </c>
      <c r="T176">
        <v>141.5</v>
      </c>
      <c r="U176">
        <v>147.30000000000001</v>
      </c>
      <c r="V176">
        <f t="shared" si="12"/>
        <v>145.66666666666666</v>
      </c>
      <c r="W176">
        <v>155.6</v>
      </c>
      <c r="X176">
        <v>141.1</v>
      </c>
      <c r="Y176">
        <v>139.4</v>
      </c>
      <c r="Z176">
        <f t="shared" si="13"/>
        <v>145.36666666666667</v>
      </c>
      <c r="AA176">
        <v>135.80000000000001</v>
      </c>
      <c r="AB176">
        <v>128.1</v>
      </c>
      <c r="AC176">
        <f t="shared" si="15"/>
        <v>131.94999999999999</v>
      </c>
      <c r="AD176">
        <v>121.6</v>
      </c>
      <c r="AE176">
        <v>133.69999999999999</v>
      </c>
      <c r="AF176">
        <f t="shared" si="16"/>
        <v>127.64999999999999</v>
      </c>
      <c r="AG176">
        <v>141.5</v>
      </c>
      <c r="AH176">
        <v>131.69999999999999</v>
      </c>
      <c r="AI176">
        <v>140</v>
      </c>
      <c r="AJ176">
        <f t="shared" si="17"/>
        <v>137.73333333333332</v>
      </c>
    </row>
    <row r="177" spans="1:36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f t="shared" si="14"/>
        <v>139.49285714285716</v>
      </c>
      <c r="S177">
        <v>135</v>
      </c>
      <c r="T177">
        <v>125.4</v>
      </c>
      <c r="U177">
        <v>133.5</v>
      </c>
      <c r="V177">
        <f t="shared" si="12"/>
        <v>131.29999999999998</v>
      </c>
      <c r="W177">
        <v>154.69999999999999</v>
      </c>
      <c r="X177">
        <v>125.7</v>
      </c>
      <c r="Y177">
        <v>128.80000000000001</v>
      </c>
      <c r="Z177">
        <f t="shared" si="13"/>
        <v>136.4</v>
      </c>
      <c r="AA177">
        <v>127.4</v>
      </c>
      <c r="AB177">
        <v>124.9</v>
      </c>
      <c r="AC177">
        <f t="shared" si="15"/>
        <v>126.15</v>
      </c>
      <c r="AD177">
        <v>115.3</v>
      </c>
      <c r="AE177">
        <v>125.1</v>
      </c>
      <c r="AF177">
        <f t="shared" si="16"/>
        <v>120.19999999999999</v>
      </c>
      <c r="AG177">
        <v>136.6</v>
      </c>
      <c r="AH177">
        <v>124.9</v>
      </c>
      <c r="AI177">
        <v>134.80000000000001</v>
      </c>
      <c r="AJ177">
        <f t="shared" si="17"/>
        <v>132.1</v>
      </c>
    </row>
    <row r="178" spans="1:36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f t="shared" si="14"/>
        <v>140.1</v>
      </c>
      <c r="S178">
        <v>143</v>
      </c>
      <c r="T178">
        <v>134.80000000000001</v>
      </c>
      <c r="U178">
        <v>141.80000000000001</v>
      </c>
      <c r="V178">
        <f t="shared" si="12"/>
        <v>139.86666666666667</v>
      </c>
      <c r="W178">
        <v>154.69999999999999</v>
      </c>
      <c r="X178">
        <v>135.30000000000001</v>
      </c>
      <c r="Y178">
        <v>134.4</v>
      </c>
      <c r="Z178">
        <f t="shared" si="13"/>
        <v>141.46666666666667</v>
      </c>
      <c r="AA178">
        <v>132.6</v>
      </c>
      <c r="AB178">
        <v>126.8</v>
      </c>
      <c r="AC178">
        <f t="shared" si="15"/>
        <v>129.69999999999999</v>
      </c>
      <c r="AD178">
        <v>118.3</v>
      </c>
      <c r="AE178">
        <v>128.9</v>
      </c>
      <c r="AF178">
        <f t="shared" si="16"/>
        <v>123.6</v>
      </c>
      <c r="AG178">
        <v>138.6</v>
      </c>
      <c r="AH178">
        <v>128.4</v>
      </c>
      <c r="AI178">
        <v>137.6</v>
      </c>
      <c r="AJ178">
        <f t="shared" si="17"/>
        <v>134.86666666666667</v>
      </c>
    </row>
    <row r="179" spans="1:36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f t="shared" si="14"/>
        <v>140.48571428571429</v>
      </c>
      <c r="S179">
        <v>148</v>
      </c>
      <c r="T179">
        <v>141.9</v>
      </c>
      <c r="U179">
        <v>147.19999999999999</v>
      </c>
      <c r="V179">
        <f t="shared" si="12"/>
        <v>145.69999999999999</v>
      </c>
      <c r="W179">
        <v>154.69999999999999</v>
      </c>
      <c r="X179">
        <v>142.6</v>
      </c>
      <c r="Y179">
        <v>139.5</v>
      </c>
      <c r="Z179">
        <f t="shared" si="13"/>
        <v>145.6</v>
      </c>
      <c r="AA179">
        <v>136.1</v>
      </c>
      <c r="AB179">
        <v>127.8</v>
      </c>
      <c r="AC179">
        <f t="shared" si="15"/>
        <v>131.94999999999999</v>
      </c>
      <c r="AD179">
        <v>122</v>
      </c>
      <c r="AE179">
        <v>133.4</v>
      </c>
      <c r="AF179">
        <f t="shared" si="16"/>
        <v>127.7</v>
      </c>
      <c r="AG179">
        <v>141.1</v>
      </c>
      <c r="AH179">
        <v>131.9</v>
      </c>
      <c r="AI179">
        <v>139.80000000000001</v>
      </c>
      <c r="AJ179">
        <f t="shared" si="17"/>
        <v>137.6</v>
      </c>
    </row>
    <row r="180" spans="1:36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f t="shared" si="14"/>
        <v>137.46428571428572</v>
      </c>
      <c r="S180">
        <v>135.6</v>
      </c>
      <c r="T180">
        <v>125.6</v>
      </c>
      <c r="U180">
        <v>134</v>
      </c>
      <c r="V180">
        <f t="shared" si="12"/>
        <v>131.73333333333332</v>
      </c>
      <c r="W180">
        <v>154.69999999999999</v>
      </c>
      <c r="X180">
        <v>126.8</v>
      </c>
      <c r="Y180">
        <v>129.30000000000001</v>
      </c>
      <c r="Z180">
        <f t="shared" si="13"/>
        <v>136.93333333333334</v>
      </c>
      <c r="AA180">
        <v>128.19999999999999</v>
      </c>
      <c r="AB180">
        <v>124.6</v>
      </c>
      <c r="AC180">
        <f t="shared" si="15"/>
        <v>126.39999999999999</v>
      </c>
      <c r="AD180">
        <v>115.3</v>
      </c>
      <c r="AE180">
        <v>125.6</v>
      </c>
      <c r="AF180">
        <f t="shared" si="16"/>
        <v>120.44999999999999</v>
      </c>
      <c r="AG180">
        <v>136.69999999999999</v>
      </c>
      <c r="AH180">
        <v>125.1</v>
      </c>
      <c r="AI180">
        <v>134.1</v>
      </c>
      <c r="AJ180">
        <f t="shared" si="17"/>
        <v>131.96666666666667</v>
      </c>
    </row>
    <row r="181" spans="1:36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f t="shared" si="14"/>
        <v>139.22857142857143</v>
      </c>
      <c r="S181">
        <v>143.1</v>
      </c>
      <c r="T181">
        <v>135.1</v>
      </c>
      <c r="U181">
        <v>142</v>
      </c>
      <c r="V181">
        <f t="shared" si="12"/>
        <v>140.06666666666666</v>
      </c>
      <c r="W181">
        <v>155.5</v>
      </c>
      <c r="X181">
        <v>136.6</v>
      </c>
      <c r="Y181">
        <v>134.69999999999999</v>
      </c>
      <c r="Z181">
        <f t="shared" si="13"/>
        <v>142.26666666666668</v>
      </c>
      <c r="AA181">
        <v>133.1</v>
      </c>
      <c r="AB181">
        <v>126.5</v>
      </c>
      <c r="AC181">
        <f t="shared" si="15"/>
        <v>129.80000000000001</v>
      </c>
      <c r="AD181">
        <v>118.5</v>
      </c>
      <c r="AE181">
        <v>129</v>
      </c>
      <c r="AF181">
        <f t="shared" si="16"/>
        <v>123.75</v>
      </c>
      <c r="AG181">
        <v>138.5</v>
      </c>
      <c r="AH181">
        <v>128.6</v>
      </c>
      <c r="AI181">
        <v>137.19999999999999</v>
      </c>
      <c r="AJ181">
        <f t="shared" si="17"/>
        <v>134.76666666666668</v>
      </c>
    </row>
    <row r="182" spans="1:36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f t="shared" si="14"/>
        <v>139.59285714285713</v>
      </c>
      <c r="S182">
        <v>148.30000000000001</v>
      </c>
      <c r="T182">
        <v>142.30000000000001</v>
      </c>
      <c r="U182">
        <v>147.5</v>
      </c>
      <c r="V182">
        <f t="shared" si="12"/>
        <v>146.03333333333333</v>
      </c>
      <c r="W182">
        <v>155.5</v>
      </c>
      <c r="X182">
        <v>142.30000000000001</v>
      </c>
      <c r="Y182">
        <v>139.80000000000001</v>
      </c>
      <c r="Z182">
        <f t="shared" si="13"/>
        <v>145.86666666666667</v>
      </c>
      <c r="AA182">
        <v>136</v>
      </c>
      <c r="AB182">
        <v>128.6</v>
      </c>
      <c r="AC182">
        <f t="shared" si="15"/>
        <v>132.30000000000001</v>
      </c>
      <c r="AD182">
        <v>122.7</v>
      </c>
      <c r="AE182">
        <v>134.30000000000001</v>
      </c>
      <c r="AF182">
        <f t="shared" si="16"/>
        <v>128.5</v>
      </c>
      <c r="AG182">
        <v>141.6</v>
      </c>
      <c r="AH182">
        <v>132.30000000000001</v>
      </c>
      <c r="AI182">
        <v>139.30000000000001</v>
      </c>
      <c r="AJ182">
        <f t="shared" si="17"/>
        <v>137.73333333333332</v>
      </c>
    </row>
    <row r="183" spans="1:36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f t="shared" si="14"/>
        <v>136.14285714285717</v>
      </c>
      <c r="S183">
        <v>136</v>
      </c>
      <c r="T183">
        <v>125.9</v>
      </c>
      <c r="U183">
        <v>134.4</v>
      </c>
      <c r="V183">
        <f t="shared" si="12"/>
        <v>132.1</v>
      </c>
      <c r="W183">
        <v>156.30000000000001</v>
      </c>
      <c r="X183">
        <v>127.3</v>
      </c>
      <c r="Y183">
        <v>129.5</v>
      </c>
      <c r="Z183">
        <f t="shared" si="13"/>
        <v>137.70000000000002</v>
      </c>
      <c r="AA183">
        <v>129</v>
      </c>
      <c r="AB183">
        <v>125.5</v>
      </c>
      <c r="AC183">
        <f t="shared" si="15"/>
        <v>127.25</v>
      </c>
      <c r="AD183">
        <v>116.3</v>
      </c>
      <c r="AE183">
        <v>126.2</v>
      </c>
      <c r="AF183">
        <f t="shared" si="16"/>
        <v>121.25</v>
      </c>
      <c r="AG183">
        <v>137.1</v>
      </c>
      <c r="AH183">
        <v>125.8</v>
      </c>
      <c r="AI183">
        <v>134.1</v>
      </c>
      <c r="AJ183">
        <f t="shared" si="17"/>
        <v>132.33333333333334</v>
      </c>
    </row>
    <row r="184" spans="1:36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f t="shared" si="14"/>
        <v>138.18571428571428</v>
      </c>
      <c r="S184">
        <v>143.5</v>
      </c>
      <c r="T184">
        <v>135.5</v>
      </c>
      <c r="U184">
        <v>142.30000000000001</v>
      </c>
      <c r="V184">
        <f t="shared" si="12"/>
        <v>140.43333333333334</v>
      </c>
      <c r="W184">
        <v>156.30000000000001</v>
      </c>
      <c r="X184">
        <v>136.6</v>
      </c>
      <c r="Y184">
        <v>134.9</v>
      </c>
      <c r="Z184">
        <f t="shared" si="13"/>
        <v>142.6</v>
      </c>
      <c r="AA184">
        <v>133.30000000000001</v>
      </c>
      <c r="AB184">
        <v>127.3</v>
      </c>
      <c r="AC184">
        <f t="shared" si="15"/>
        <v>130.30000000000001</v>
      </c>
      <c r="AD184">
        <v>119.3</v>
      </c>
      <c r="AE184">
        <v>129.69999999999999</v>
      </c>
      <c r="AF184">
        <f t="shared" si="16"/>
        <v>124.5</v>
      </c>
      <c r="AG184">
        <v>139</v>
      </c>
      <c r="AH184">
        <v>129.1</v>
      </c>
      <c r="AI184">
        <v>136.9</v>
      </c>
      <c r="AJ184">
        <f t="shared" si="17"/>
        <v>135</v>
      </c>
    </row>
    <row r="185" spans="1:36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f t="shared" si="14"/>
        <v>138.19999999999999</v>
      </c>
      <c r="S185">
        <v>148.69999999999999</v>
      </c>
      <c r="T185">
        <v>142.4</v>
      </c>
      <c r="U185">
        <v>147.80000000000001</v>
      </c>
      <c r="V185">
        <f t="shared" si="12"/>
        <v>146.30000000000001</v>
      </c>
      <c r="W185">
        <v>156.5</v>
      </c>
      <c r="X185">
        <v>142.4</v>
      </c>
      <c r="Y185">
        <v>139.9</v>
      </c>
      <c r="Z185">
        <f t="shared" si="13"/>
        <v>146.26666666666665</v>
      </c>
      <c r="AA185">
        <v>136.19999999999999</v>
      </c>
      <c r="AB185">
        <v>128.80000000000001</v>
      </c>
      <c r="AC185">
        <f t="shared" si="15"/>
        <v>132.5</v>
      </c>
      <c r="AD185">
        <v>123.3</v>
      </c>
      <c r="AE185">
        <v>134.30000000000001</v>
      </c>
      <c r="AF185">
        <f t="shared" si="16"/>
        <v>128.80000000000001</v>
      </c>
      <c r="AG185">
        <v>141.5</v>
      </c>
      <c r="AH185">
        <v>132.5</v>
      </c>
      <c r="AI185">
        <v>138.5</v>
      </c>
      <c r="AJ185">
        <f t="shared" si="17"/>
        <v>137.5</v>
      </c>
    </row>
    <row r="186" spans="1:36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f t="shared" si="14"/>
        <v>134.80000000000001</v>
      </c>
      <c r="S186">
        <v>136.30000000000001</v>
      </c>
      <c r="T186">
        <v>126.1</v>
      </c>
      <c r="U186">
        <v>134.69999999999999</v>
      </c>
      <c r="V186">
        <f t="shared" si="12"/>
        <v>132.36666666666665</v>
      </c>
      <c r="W186">
        <v>156.5</v>
      </c>
      <c r="X186">
        <v>127.3</v>
      </c>
      <c r="Y186">
        <v>129.9</v>
      </c>
      <c r="Z186">
        <f t="shared" si="13"/>
        <v>137.9</v>
      </c>
      <c r="AA186">
        <v>129.80000000000001</v>
      </c>
      <c r="AB186">
        <v>126.2</v>
      </c>
      <c r="AC186">
        <f t="shared" si="15"/>
        <v>128</v>
      </c>
      <c r="AD186">
        <v>117.4</v>
      </c>
      <c r="AE186">
        <v>126.5</v>
      </c>
      <c r="AF186">
        <f t="shared" si="16"/>
        <v>121.95</v>
      </c>
      <c r="AG186">
        <v>137.19999999999999</v>
      </c>
      <c r="AH186">
        <v>126.5</v>
      </c>
      <c r="AI186">
        <v>134</v>
      </c>
      <c r="AJ186">
        <f t="shared" si="17"/>
        <v>132.56666666666666</v>
      </c>
    </row>
    <row r="187" spans="1:36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f t="shared" si="14"/>
        <v>136.80714285714285</v>
      </c>
      <c r="S187">
        <v>143.80000000000001</v>
      </c>
      <c r="T187">
        <v>135.6</v>
      </c>
      <c r="U187">
        <v>142.6</v>
      </c>
      <c r="V187">
        <f t="shared" si="12"/>
        <v>140.66666666666666</v>
      </c>
      <c r="W187">
        <v>158</v>
      </c>
      <c r="X187">
        <v>136.69999999999999</v>
      </c>
      <c r="Y187">
        <v>135.19999999999999</v>
      </c>
      <c r="Z187">
        <f t="shared" si="13"/>
        <v>143.29999999999998</v>
      </c>
      <c r="AA187">
        <v>133.80000000000001</v>
      </c>
      <c r="AB187">
        <v>127.7</v>
      </c>
      <c r="AC187">
        <f t="shared" si="15"/>
        <v>130.75</v>
      </c>
      <c r="AD187">
        <v>120.2</v>
      </c>
      <c r="AE187">
        <v>129.9</v>
      </c>
      <c r="AF187">
        <f t="shared" si="16"/>
        <v>125.05000000000001</v>
      </c>
      <c r="AG187">
        <v>139</v>
      </c>
      <c r="AH187">
        <v>129.6</v>
      </c>
      <c r="AI187">
        <v>136.4</v>
      </c>
      <c r="AJ187">
        <f t="shared" si="17"/>
        <v>135</v>
      </c>
    </row>
    <row r="188" spans="1:36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f t="shared" si="14"/>
        <v>138.3642857142857</v>
      </c>
      <c r="S188">
        <v>149.19999999999999</v>
      </c>
      <c r="T188">
        <v>143</v>
      </c>
      <c r="U188">
        <v>148.30000000000001</v>
      </c>
      <c r="V188">
        <f t="shared" si="12"/>
        <v>146.83333333333334</v>
      </c>
      <c r="W188">
        <v>158</v>
      </c>
      <c r="X188">
        <v>142.6</v>
      </c>
      <c r="Y188">
        <v>139.9</v>
      </c>
      <c r="Z188">
        <f t="shared" si="13"/>
        <v>146.83333333333334</v>
      </c>
      <c r="AA188">
        <v>136.69999999999999</v>
      </c>
      <c r="AB188">
        <v>129.30000000000001</v>
      </c>
      <c r="AC188">
        <f t="shared" si="15"/>
        <v>133</v>
      </c>
      <c r="AD188">
        <v>124.6</v>
      </c>
      <c r="AE188">
        <v>135.1</v>
      </c>
      <c r="AF188">
        <f t="shared" si="16"/>
        <v>129.85</v>
      </c>
      <c r="AG188">
        <v>142.69999999999999</v>
      </c>
      <c r="AH188">
        <v>133.30000000000001</v>
      </c>
      <c r="AI188">
        <v>138.69999999999999</v>
      </c>
      <c r="AJ188">
        <f t="shared" si="17"/>
        <v>138.23333333333332</v>
      </c>
    </row>
    <row r="189" spans="1:36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f t="shared" si="14"/>
        <v>133.94285714285715</v>
      </c>
      <c r="S189">
        <v>136.69999999999999</v>
      </c>
      <c r="T189">
        <v>126.7</v>
      </c>
      <c r="U189">
        <v>135.19999999999999</v>
      </c>
      <c r="V189">
        <f t="shared" si="12"/>
        <v>132.86666666666665</v>
      </c>
      <c r="W189">
        <v>158.4</v>
      </c>
      <c r="X189">
        <v>126.4</v>
      </c>
      <c r="Y189">
        <v>130.80000000000001</v>
      </c>
      <c r="Z189">
        <f t="shared" si="13"/>
        <v>138.53333333333333</v>
      </c>
      <c r="AA189">
        <v>130.5</v>
      </c>
      <c r="AB189">
        <v>126.7</v>
      </c>
      <c r="AC189">
        <f t="shared" si="15"/>
        <v>128.6</v>
      </c>
      <c r="AD189">
        <v>117.8</v>
      </c>
      <c r="AE189">
        <v>126.8</v>
      </c>
      <c r="AF189">
        <f t="shared" si="16"/>
        <v>122.3</v>
      </c>
      <c r="AG189">
        <v>137.80000000000001</v>
      </c>
      <c r="AH189">
        <v>127.1</v>
      </c>
      <c r="AI189">
        <v>134</v>
      </c>
      <c r="AJ189">
        <f t="shared" si="17"/>
        <v>132.96666666666667</v>
      </c>
    </row>
    <row r="190" spans="1:36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f t="shared" si="14"/>
        <v>136.59285714285713</v>
      </c>
      <c r="S190">
        <v>144.30000000000001</v>
      </c>
      <c r="T190">
        <v>136.19999999999999</v>
      </c>
      <c r="U190">
        <v>143.1</v>
      </c>
      <c r="V190">
        <f t="shared" si="12"/>
        <v>141.20000000000002</v>
      </c>
      <c r="W190">
        <v>158.4</v>
      </c>
      <c r="X190">
        <v>136.5</v>
      </c>
      <c r="Y190">
        <v>135.6</v>
      </c>
      <c r="Z190">
        <f t="shared" si="13"/>
        <v>143.5</v>
      </c>
      <c r="AA190">
        <v>134.30000000000001</v>
      </c>
      <c r="AB190">
        <v>128.19999999999999</v>
      </c>
      <c r="AC190">
        <f t="shared" si="15"/>
        <v>131.25</v>
      </c>
      <c r="AD190">
        <v>121</v>
      </c>
      <c r="AE190">
        <v>130.4</v>
      </c>
      <c r="AF190">
        <f t="shared" si="16"/>
        <v>125.7</v>
      </c>
      <c r="AG190">
        <v>139.80000000000001</v>
      </c>
      <c r="AH190">
        <v>130.30000000000001</v>
      </c>
      <c r="AI190">
        <v>136.5</v>
      </c>
      <c r="AJ190">
        <f t="shared" si="17"/>
        <v>135.53333333333333</v>
      </c>
    </row>
    <row r="191" spans="1:36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f t="shared" si="14"/>
        <v>138.29285714285714</v>
      </c>
      <c r="S191">
        <v>150.1</v>
      </c>
      <c r="T191">
        <v>143.30000000000001</v>
      </c>
      <c r="U191">
        <v>149.1</v>
      </c>
      <c r="V191">
        <f t="shared" si="12"/>
        <v>147.5</v>
      </c>
      <c r="W191">
        <v>157.69999999999999</v>
      </c>
      <c r="X191">
        <v>143.80000000000001</v>
      </c>
      <c r="Y191">
        <v>140.9</v>
      </c>
      <c r="Z191">
        <f t="shared" si="13"/>
        <v>147.46666666666667</v>
      </c>
      <c r="AA191">
        <v>137.6</v>
      </c>
      <c r="AB191">
        <v>130.4</v>
      </c>
      <c r="AC191">
        <f t="shared" si="15"/>
        <v>134</v>
      </c>
      <c r="AD191">
        <v>125.3</v>
      </c>
      <c r="AE191">
        <v>136</v>
      </c>
      <c r="AF191">
        <f t="shared" si="16"/>
        <v>130.65</v>
      </c>
      <c r="AG191">
        <v>143.69999999999999</v>
      </c>
      <c r="AH191">
        <v>134.19999999999999</v>
      </c>
      <c r="AI191">
        <v>139.1</v>
      </c>
      <c r="AJ191">
        <f t="shared" si="17"/>
        <v>139</v>
      </c>
    </row>
    <row r="192" spans="1:36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f t="shared" si="14"/>
        <v>134.22857142857146</v>
      </c>
      <c r="S192">
        <v>137.80000000000001</v>
      </c>
      <c r="T192">
        <v>127.4</v>
      </c>
      <c r="U192">
        <v>136.19999999999999</v>
      </c>
      <c r="V192">
        <f t="shared" si="12"/>
        <v>133.80000000000001</v>
      </c>
      <c r="W192">
        <v>157.69999999999999</v>
      </c>
      <c r="X192">
        <v>124.6</v>
      </c>
      <c r="Y192">
        <v>131.80000000000001</v>
      </c>
      <c r="Z192">
        <f t="shared" si="13"/>
        <v>138.03333333333333</v>
      </c>
      <c r="AA192">
        <v>131.30000000000001</v>
      </c>
      <c r="AB192">
        <v>127.6</v>
      </c>
      <c r="AC192">
        <f t="shared" si="15"/>
        <v>129.44999999999999</v>
      </c>
      <c r="AD192">
        <v>118.9</v>
      </c>
      <c r="AE192">
        <v>127.6</v>
      </c>
      <c r="AF192">
        <f t="shared" si="16"/>
        <v>123.25</v>
      </c>
      <c r="AG192">
        <v>139.69999999999999</v>
      </c>
      <c r="AH192">
        <v>128.19999999999999</v>
      </c>
      <c r="AI192">
        <v>134.80000000000001</v>
      </c>
      <c r="AJ192">
        <f t="shared" si="17"/>
        <v>134.23333333333332</v>
      </c>
    </row>
    <row r="193" spans="1:36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f t="shared" si="14"/>
        <v>136.71428571428572</v>
      </c>
      <c r="S193">
        <v>145.30000000000001</v>
      </c>
      <c r="T193">
        <v>136.69999999999999</v>
      </c>
      <c r="U193">
        <v>144</v>
      </c>
      <c r="V193">
        <f t="shared" si="12"/>
        <v>142</v>
      </c>
      <c r="W193">
        <v>159.80000000000001</v>
      </c>
      <c r="X193">
        <v>136.5</v>
      </c>
      <c r="Y193">
        <v>136.6</v>
      </c>
      <c r="Z193">
        <f t="shared" si="13"/>
        <v>144.29999999999998</v>
      </c>
      <c r="AA193">
        <v>135.19999999999999</v>
      </c>
      <c r="AB193">
        <v>129.19999999999999</v>
      </c>
      <c r="AC193">
        <f t="shared" si="15"/>
        <v>132.19999999999999</v>
      </c>
      <c r="AD193">
        <v>121.9</v>
      </c>
      <c r="AE193">
        <v>131.30000000000001</v>
      </c>
      <c r="AF193">
        <f t="shared" si="16"/>
        <v>126.60000000000001</v>
      </c>
      <c r="AG193">
        <v>141.4</v>
      </c>
      <c r="AH193">
        <v>131.30000000000001</v>
      </c>
      <c r="AI193">
        <v>137.1</v>
      </c>
      <c r="AJ193">
        <f t="shared" si="17"/>
        <v>136.60000000000002</v>
      </c>
    </row>
    <row r="194" spans="1:36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f t="shared" si="14"/>
        <v>138.52857142857144</v>
      </c>
      <c r="S194">
        <v>150.80000000000001</v>
      </c>
      <c r="T194">
        <v>144.1</v>
      </c>
      <c r="U194">
        <v>149.80000000000001</v>
      </c>
      <c r="V194">
        <f t="shared" ref="V194:V257" si="18">AVERAGE(S194:U194)</f>
        <v>148.23333333333332</v>
      </c>
      <c r="W194">
        <v>159.80000000000001</v>
      </c>
      <c r="X194">
        <v>144.30000000000001</v>
      </c>
      <c r="Y194">
        <v>141.80000000000001</v>
      </c>
      <c r="Z194">
        <f t="shared" ref="Z194:Z257" si="19">AVERAGE(W194:Y194)</f>
        <v>148.63333333333335</v>
      </c>
      <c r="AA194">
        <v>138.4</v>
      </c>
      <c r="AB194">
        <v>131.19999999999999</v>
      </c>
      <c r="AC194">
        <f t="shared" si="15"/>
        <v>134.80000000000001</v>
      </c>
      <c r="AD194">
        <v>126.4</v>
      </c>
      <c r="AE194">
        <v>136.80000000000001</v>
      </c>
      <c r="AF194">
        <f t="shared" si="16"/>
        <v>131.60000000000002</v>
      </c>
      <c r="AG194">
        <v>144.4</v>
      </c>
      <c r="AH194">
        <v>135.1</v>
      </c>
      <c r="AI194">
        <v>139.80000000000001</v>
      </c>
      <c r="AJ194">
        <f t="shared" si="17"/>
        <v>139.76666666666668</v>
      </c>
    </row>
    <row r="195" spans="1:36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f t="shared" ref="R195:R258" si="20">AVERAGE(D195:Q195)</f>
        <v>134.51428571428571</v>
      </c>
      <c r="S195">
        <v>138.6</v>
      </c>
      <c r="T195">
        <v>127.9</v>
      </c>
      <c r="U195">
        <v>137</v>
      </c>
      <c r="V195">
        <f t="shared" si="18"/>
        <v>134.5</v>
      </c>
      <c r="W195">
        <v>159.9</v>
      </c>
      <c r="X195">
        <v>124.7</v>
      </c>
      <c r="Y195">
        <v>132.5</v>
      </c>
      <c r="Z195">
        <f t="shared" si="19"/>
        <v>139.03333333333333</v>
      </c>
      <c r="AA195">
        <v>132</v>
      </c>
      <c r="AB195">
        <v>128.1</v>
      </c>
      <c r="AC195">
        <f t="shared" ref="AC195:AC258" si="21">AVERAGE(AA195:AB195)</f>
        <v>130.05000000000001</v>
      </c>
      <c r="AD195">
        <v>119.8</v>
      </c>
      <c r="AE195">
        <v>128</v>
      </c>
      <c r="AF195">
        <f t="shared" ref="AF195:AF258" si="22">AVERAGE(AD195:AE195)</f>
        <v>123.9</v>
      </c>
      <c r="AG195">
        <v>140.4</v>
      </c>
      <c r="AH195">
        <v>128.9</v>
      </c>
      <c r="AI195">
        <v>135.4</v>
      </c>
      <c r="AJ195">
        <f t="shared" ref="AJ195:AJ258" si="23">AVERAGE(AG195:AI195)</f>
        <v>134.9</v>
      </c>
    </row>
    <row r="196" spans="1:36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f t="shared" si="20"/>
        <v>136.97857142857143</v>
      </c>
      <c r="S196">
        <v>146</v>
      </c>
      <c r="T196">
        <v>137.4</v>
      </c>
      <c r="U196">
        <v>144.69999999999999</v>
      </c>
      <c r="V196">
        <f t="shared" si="18"/>
        <v>142.69999999999999</v>
      </c>
      <c r="W196">
        <v>159.9</v>
      </c>
      <c r="X196">
        <v>136.9</v>
      </c>
      <c r="Y196">
        <v>137.4</v>
      </c>
      <c r="Z196">
        <f t="shared" si="19"/>
        <v>144.73333333333335</v>
      </c>
      <c r="AA196">
        <v>136</v>
      </c>
      <c r="AB196">
        <v>129.9</v>
      </c>
      <c r="AC196">
        <f t="shared" si="21"/>
        <v>132.94999999999999</v>
      </c>
      <c r="AD196">
        <v>122.9</v>
      </c>
      <c r="AE196">
        <v>131.80000000000001</v>
      </c>
      <c r="AF196">
        <f t="shared" si="22"/>
        <v>127.35000000000001</v>
      </c>
      <c r="AG196">
        <v>142.1</v>
      </c>
      <c r="AH196">
        <v>132.1</v>
      </c>
      <c r="AI196">
        <v>137.80000000000001</v>
      </c>
      <c r="AJ196">
        <f t="shared" si="23"/>
        <v>137.33333333333334</v>
      </c>
    </row>
    <row r="197" spans="1:36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f t="shared" si="20"/>
        <v>139.1142857142857</v>
      </c>
      <c r="S197">
        <v>151.30000000000001</v>
      </c>
      <c r="T197">
        <v>144.69999999999999</v>
      </c>
      <c r="U197">
        <v>150.30000000000001</v>
      </c>
      <c r="V197">
        <f t="shared" si="18"/>
        <v>148.76666666666668</v>
      </c>
      <c r="W197">
        <v>161.4</v>
      </c>
      <c r="X197">
        <v>145.1</v>
      </c>
      <c r="Y197">
        <v>142.19999999999999</v>
      </c>
      <c r="Z197">
        <f t="shared" si="19"/>
        <v>149.56666666666666</v>
      </c>
      <c r="AA197">
        <v>138.4</v>
      </c>
      <c r="AB197">
        <v>131.4</v>
      </c>
      <c r="AC197">
        <f t="shared" si="21"/>
        <v>134.9</v>
      </c>
      <c r="AD197">
        <v>127.4</v>
      </c>
      <c r="AE197">
        <v>137.80000000000001</v>
      </c>
      <c r="AF197">
        <f t="shared" si="22"/>
        <v>132.60000000000002</v>
      </c>
      <c r="AG197">
        <v>145.1</v>
      </c>
      <c r="AH197">
        <v>135.6</v>
      </c>
      <c r="AI197">
        <v>140.5</v>
      </c>
      <c r="AJ197">
        <f t="shared" si="23"/>
        <v>140.4</v>
      </c>
    </row>
    <row r="198" spans="1:36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f t="shared" si="20"/>
        <v>136.30714285714288</v>
      </c>
      <c r="S198">
        <v>138.9</v>
      </c>
      <c r="T198">
        <v>128.69999999999999</v>
      </c>
      <c r="U198">
        <v>137.4</v>
      </c>
      <c r="V198">
        <f t="shared" si="18"/>
        <v>135</v>
      </c>
      <c r="W198">
        <v>161.4</v>
      </c>
      <c r="X198">
        <v>126.5</v>
      </c>
      <c r="Y198">
        <v>133.1</v>
      </c>
      <c r="Z198">
        <f t="shared" si="19"/>
        <v>140.33333333333334</v>
      </c>
      <c r="AA198">
        <v>132.6</v>
      </c>
      <c r="AB198">
        <v>128.19999999999999</v>
      </c>
      <c r="AC198">
        <f t="shared" si="21"/>
        <v>130.39999999999998</v>
      </c>
      <c r="AD198">
        <v>120.4</v>
      </c>
      <c r="AE198">
        <v>128.5</v>
      </c>
      <c r="AF198">
        <f t="shared" si="22"/>
        <v>124.45</v>
      </c>
      <c r="AG198">
        <v>141.19999999999999</v>
      </c>
      <c r="AH198">
        <v>129.5</v>
      </c>
      <c r="AI198">
        <v>136.19999999999999</v>
      </c>
      <c r="AJ198">
        <f t="shared" si="23"/>
        <v>135.63333333333333</v>
      </c>
    </row>
    <row r="199" spans="1:36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f t="shared" si="20"/>
        <v>138.02857142857144</v>
      </c>
      <c r="S199">
        <v>146.4</v>
      </c>
      <c r="T199">
        <v>138.1</v>
      </c>
      <c r="U199">
        <v>145.19999999999999</v>
      </c>
      <c r="V199">
        <f t="shared" si="18"/>
        <v>143.23333333333332</v>
      </c>
      <c r="W199">
        <v>161.6</v>
      </c>
      <c r="X199">
        <v>138.1</v>
      </c>
      <c r="Y199">
        <v>137.9</v>
      </c>
      <c r="Z199">
        <f t="shared" si="19"/>
        <v>145.86666666666667</v>
      </c>
      <c r="AA199">
        <v>136.19999999999999</v>
      </c>
      <c r="AB199">
        <v>130.1</v>
      </c>
      <c r="AC199">
        <f t="shared" si="21"/>
        <v>133.14999999999998</v>
      </c>
      <c r="AD199">
        <v>123.7</v>
      </c>
      <c r="AE199">
        <v>132.6</v>
      </c>
      <c r="AF199">
        <f t="shared" si="22"/>
        <v>128.15</v>
      </c>
      <c r="AG199">
        <v>142.80000000000001</v>
      </c>
      <c r="AH199">
        <v>132.6</v>
      </c>
      <c r="AI199">
        <v>138.5</v>
      </c>
      <c r="AJ199">
        <f t="shared" si="23"/>
        <v>137.96666666666667</v>
      </c>
    </row>
    <row r="200" spans="1:36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f t="shared" si="20"/>
        <v>140.47142857142859</v>
      </c>
      <c r="S200">
        <v>151.5</v>
      </c>
      <c r="T200">
        <v>145.1</v>
      </c>
      <c r="U200">
        <v>150.6</v>
      </c>
      <c r="V200">
        <f t="shared" si="18"/>
        <v>149.06666666666669</v>
      </c>
      <c r="W200">
        <v>161.6</v>
      </c>
      <c r="X200">
        <v>146.80000000000001</v>
      </c>
      <c r="Y200">
        <v>143.1</v>
      </c>
      <c r="Z200">
        <f t="shared" si="19"/>
        <v>150.5</v>
      </c>
      <c r="AA200">
        <v>139</v>
      </c>
      <c r="AB200">
        <v>131.4</v>
      </c>
      <c r="AC200">
        <f t="shared" si="21"/>
        <v>135.19999999999999</v>
      </c>
      <c r="AD200">
        <v>127.5</v>
      </c>
      <c r="AE200">
        <v>138.4</v>
      </c>
      <c r="AF200">
        <f t="shared" si="22"/>
        <v>132.94999999999999</v>
      </c>
      <c r="AG200">
        <v>145.80000000000001</v>
      </c>
      <c r="AH200">
        <v>136</v>
      </c>
      <c r="AI200">
        <v>141.80000000000001</v>
      </c>
      <c r="AJ200">
        <f t="shared" si="23"/>
        <v>141.20000000000002</v>
      </c>
    </row>
    <row r="201" spans="1:36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f t="shared" si="20"/>
        <v>138.03571428571428</v>
      </c>
      <c r="S201">
        <v>139.6</v>
      </c>
      <c r="T201">
        <v>128.9</v>
      </c>
      <c r="U201">
        <v>137.9</v>
      </c>
      <c r="V201">
        <f t="shared" si="18"/>
        <v>135.46666666666667</v>
      </c>
      <c r="W201">
        <v>160.5</v>
      </c>
      <c r="X201">
        <v>128.1</v>
      </c>
      <c r="Y201">
        <v>133.6</v>
      </c>
      <c r="Z201">
        <f t="shared" si="19"/>
        <v>140.73333333333335</v>
      </c>
      <c r="AA201">
        <v>133.6</v>
      </c>
      <c r="AB201">
        <v>128.19999999999999</v>
      </c>
      <c r="AC201">
        <f t="shared" si="21"/>
        <v>130.89999999999998</v>
      </c>
      <c r="AD201">
        <v>120.1</v>
      </c>
      <c r="AE201">
        <v>129</v>
      </c>
      <c r="AF201">
        <f t="shared" si="22"/>
        <v>124.55</v>
      </c>
      <c r="AG201">
        <v>144</v>
      </c>
      <c r="AH201">
        <v>130.19999999999999</v>
      </c>
      <c r="AI201">
        <v>137.5</v>
      </c>
      <c r="AJ201">
        <f t="shared" si="23"/>
        <v>137.23333333333332</v>
      </c>
    </row>
    <row r="202" spans="1:36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f t="shared" si="20"/>
        <v>139.48571428571429</v>
      </c>
      <c r="S202">
        <v>146.80000000000001</v>
      </c>
      <c r="T202">
        <v>138.4</v>
      </c>
      <c r="U202">
        <v>145.6</v>
      </c>
      <c r="V202">
        <f t="shared" si="18"/>
        <v>143.60000000000002</v>
      </c>
      <c r="W202">
        <v>160.5</v>
      </c>
      <c r="X202">
        <v>139.69999999999999</v>
      </c>
      <c r="Y202">
        <v>138.6</v>
      </c>
      <c r="Z202">
        <f t="shared" si="19"/>
        <v>146.26666666666665</v>
      </c>
      <c r="AA202">
        <v>137</v>
      </c>
      <c r="AB202">
        <v>130.1</v>
      </c>
      <c r="AC202">
        <f t="shared" si="21"/>
        <v>133.55000000000001</v>
      </c>
      <c r="AD202">
        <v>123.6</v>
      </c>
      <c r="AE202">
        <v>133.1</v>
      </c>
      <c r="AF202">
        <f t="shared" si="22"/>
        <v>128.35</v>
      </c>
      <c r="AG202">
        <v>144.69999999999999</v>
      </c>
      <c r="AH202">
        <v>133.19999999999999</v>
      </c>
      <c r="AI202">
        <v>139.80000000000001</v>
      </c>
      <c r="AJ202">
        <f t="shared" si="23"/>
        <v>139.23333333333332</v>
      </c>
    </row>
    <row r="203" spans="1:36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f t="shared" si="20"/>
        <v>141.08571428571429</v>
      </c>
      <c r="S203">
        <v>152.1</v>
      </c>
      <c r="T203">
        <v>145.80000000000001</v>
      </c>
      <c r="U203">
        <v>151.30000000000001</v>
      </c>
      <c r="V203">
        <f t="shared" si="18"/>
        <v>149.73333333333332</v>
      </c>
      <c r="W203">
        <v>161.5</v>
      </c>
      <c r="X203">
        <v>147.69999999999999</v>
      </c>
      <c r="Y203">
        <v>143.80000000000001</v>
      </c>
      <c r="Z203">
        <f t="shared" si="19"/>
        <v>151</v>
      </c>
      <c r="AA203">
        <v>139.4</v>
      </c>
      <c r="AB203">
        <v>131.30000000000001</v>
      </c>
      <c r="AC203">
        <f t="shared" si="21"/>
        <v>135.35000000000002</v>
      </c>
      <c r="AD203">
        <v>128.30000000000001</v>
      </c>
      <c r="AE203">
        <v>138.6</v>
      </c>
      <c r="AF203">
        <f t="shared" si="22"/>
        <v>133.44999999999999</v>
      </c>
      <c r="AG203">
        <v>146.9</v>
      </c>
      <c r="AH203">
        <v>136.6</v>
      </c>
      <c r="AI203">
        <v>142.5</v>
      </c>
      <c r="AJ203">
        <f t="shared" si="23"/>
        <v>142</v>
      </c>
    </row>
    <row r="204" spans="1:36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f t="shared" si="20"/>
        <v>137.83571428571426</v>
      </c>
      <c r="S204">
        <v>140</v>
      </c>
      <c r="T204">
        <v>129</v>
      </c>
      <c r="U204">
        <v>138.30000000000001</v>
      </c>
      <c r="V204">
        <f t="shared" si="18"/>
        <v>135.76666666666668</v>
      </c>
      <c r="W204">
        <v>161.5</v>
      </c>
      <c r="X204">
        <v>129.80000000000001</v>
      </c>
      <c r="Y204">
        <v>134.4</v>
      </c>
      <c r="Z204">
        <f t="shared" si="19"/>
        <v>141.9</v>
      </c>
      <c r="AA204">
        <v>134.9</v>
      </c>
      <c r="AB204">
        <v>128.30000000000001</v>
      </c>
      <c r="AC204">
        <f t="shared" si="21"/>
        <v>131.60000000000002</v>
      </c>
      <c r="AD204">
        <v>120.7</v>
      </c>
      <c r="AE204">
        <v>129.80000000000001</v>
      </c>
      <c r="AF204">
        <f t="shared" si="22"/>
        <v>125.25</v>
      </c>
      <c r="AG204">
        <v>145.30000000000001</v>
      </c>
      <c r="AH204">
        <v>131</v>
      </c>
      <c r="AI204">
        <v>138</v>
      </c>
      <c r="AJ204">
        <f t="shared" si="23"/>
        <v>138.1</v>
      </c>
    </row>
    <row r="205" spans="1:36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f t="shared" si="20"/>
        <v>139.7571428571429</v>
      </c>
      <c r="S205">
        <v>147.30000000000001</v>
      </c>
      <c r="T205">
        <v>138.80000000000001</v>
      </c>
      <c r="U205">
        <v>146.1</v>
      </c>
      <c r="V205">
        <f t="shared" si="18"/>
        <v>144.06666666666669</v>
      </c>
      <c r="W205">
        <v>162.1</v>
      </c>
      <c r="X205">
        <v>140.9</v>
      </c>
      <c r="Y205">
        <v>139.4</v>
      </c>
      <c r="Z205">
        <f t="shared" si="19"/>
        <v>147.46666666666667</v>
      </c>
      <c r="AA205">
        <v>137.69999999999999</v>
      </c>
      <c r="AB205">
        <v>130.1</v>
      </c>
      <c r="AC205">
        <f t="shared" si="21"/>
        <v>133.89999999999998</v>
      </c>
      <c r="AD205">
        <v>124.3</v>
      </c>
      <c r="AE205">
        <v>133.6</v>
      </c>
      <c r="AF205">
        <f t="shared" si="22"/>
        <v>128.94999999999999</v>
      </c>
      <c r="AG205">
        <v>146</v>
      </c>
      <c r="AH205">
        <v>133.9</v>
      </c>
      <c r="AI205">
        <v>140.4</v>
      </c>
      <c r="AJ205">
        <f t="shared" si="23"/>
        <v>140.1</v>
      </c>
    </row>
    <row r="206" spans="1:36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f t="shared" si="20"/>
        <v>139.82142857142858</v>
      </c>
      <c r="S206">
        <v>152.1</v>
      </c>
      <c r="T206">
        <v>146.1</v>
      </c>
      <c r="U206">
        <v>151.30000000000001</v>
      </c>
      <c r="V206">
        <f t="shared" si="18"/>
        <v>149.83333333333334</v>
      </c>
      <c r="W206">
        <v>162.1</v>
      </c>
      <c r="X206">
        <v>149</v>
      </c>
      <c r="Y206">
        <v>144</v>
      </c>
      <c r="Z206">
        <f t="shared" si="19"/>
        <v>151.70000000000002</v>
      </c>
      <c r="AA206">
        <v>140</v>
      </c>
      <c r="AB206">
        <v>132</v>
      </c>
      <c r="AC206">
        <f t="shared" si="21"/>
        <v>136</v>
      </c>
      <c r="AD206">
        <v>129.9</v>
      </c>
      <c r="AE206">
        <v>140</v>
      </c>
      <c r="AF206">
        <f t="shared" si="22"/>
        <v>134.94999999999999</v>
      </c>
      <c r="AG206">
        <v>147.6</v>
      </c>
      <c r="AH206">
        <v>137.4</v>
      </c>
      <c r="AI206">
        <v>142.1</v>
      </c>
      <c r="AJ206">
        <f t="shared" si="23"/>
        <v>142.36666666666667</v>
      </c>
    </row>
    <row r="207" spans="1:36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f t="shared" si="20"/>
        <v>136.55000000000001</v>
      </c>
      <c r="S207">
        <v>140.80000000000001</v>
      </c>
      <c r="T207">
        <v>129.30000000000001</v>
      </c>
      <c r="U207">
        <v>139.1</v>
      </c>
      <c r="V207">
        <f t="shared" si="18"/>
        <v>136.4</v>
      </c>
      <c r="W207">
        <v>162.1</v>
      </c>
      <c r="X207">
        <v>131.19999999999999</v>
      </c>
      <c r="Y207">
        <v>134.9</v>
      </c>
      <c r="Z207">
        <f t="shared" si="19"/>
        <v>142.73333333333332</v>
      </c>
      <c r="AA207">
        <v>135.69999999999999</v>
      </c>
      <c r="AB207">
        <v>129.30000000000001</v>
      </c>
      <c r="AC207">
        <f t="shared" si="21"/>
        <v>132.5</v>
      </c>
      <c r="AD207">
        <v>122.5</v>
      </c>
      <c r="AE207">
        <v>130.19999999999999</v>
      </c>
      <c r="AF207">
        <f t="shared" si="22"/>
        <v>126.35</v>
      </c>
      <c r="AG207">
        <v>145.19999999999999</v>
      </c>
      <c r="AH207">
        <v>131.9</v>
      </c>
      <c r="AI207">
        <v>138.1</v>
      </c>
      <c r="AJ207">
        <f t="shared" si="23"/>
        <v>138.4</v>
      </c>
    </row>
    <row r="208" spans="1:36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f t="shared" si="20"/>
        <v>138.47857142857143</v>
      </c>
      <c r="S208">
        <v>147.69999999999999</v>
      </c>
      <c r="T208">
        <v>139.1</v>
      </c>
      <c r="U208">
        <v>146.5</v>
      </c>
      <c r="V208">
        <f t="shared" si="18"/>
        <v>144.43333333333331</v>
      </c>
      <c r="W208">
        <v>162.1</v>
      </c>
      <c r="X208">
        <v>142.30000000000001</v>
      </c>
      <c r="Y208">
        <v>139.69999999999999</v>
      </c>
      <c r="Z208">
        <f t="shared" si="19"/>
        <v>148.03333333333333</v>
      </c>
      <c r="AA208">
        <v>138.4</v>
      </c>
      <c r="AB208">
        <v>130.9</v>
      </c>
      <c r="AC208">
        <f t="shared" si="21"/>
        <v>134.65</v>
      </c>
      <c r="AD208">
        <v>126</v>
      </c>
      <c r="AE208">
        <v>134.5</v>
      </c>
      <c r="AF208">
        <f t="shared" si="22"/>
        <v>130.25</v>
      </c>
      <c r="AG208">
        <v>146.19999999999999</v>
      </c>
      <c r="AH208">
        <v>134.69999999999999</v>
      </c>
      <c r="AI208">
        <v>140.19999999999999</v>
      </c>
      <c r="AJ208">
        <f t="shared" si="23"/>
        <v>140.36666666666665</v>
      </c>
    </row>
    <row r="209" spans="1:36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f t="shared" si="20"/>
        <v>138.69999999999999</v>
      </c>
      <c r="S209">
        <v>150.69999999999999</v>
      </c>
      <c r="T209">
        <v>144.5</v>
      </c>
      <c r="U209">
        <v>149.80000000000001</v>
      </c>
      <c r="V209">
        <f t="shared" si="18"/>
        <v>148.33333333333334</v>
      </c>
      <c r="W209">
        <v>163.6</v>
      </c>
      <c r="X209">
        <v>149.69999999999999</v>
      </c>
      <c r="Y209">
        <v>147.5</v>
      </c>
      <c r="Z209">
        <f t="shared" si="19"/>
        <v>153.6</v>
      </c>
      <c r="AA209">
        <v>144.80000000000001</v>
      </c>
      <c r="AB209">
        <v>134.4</v>
      </c>
      <c r="AC209">
        <f t="shared" si="21"/>
        <v>139.60000000000002</v>
      </c>
      <c r="AD209">
        <v>130.80000000000001</v>
      </c>
      <c r="AE209">
        <v>140.1</v>
      </c>
      <c r="AF209">
        <f t="shared" si="22"/>
        <v>135.44999999999999</v>
      </c>
      <c r="AG209">
        <v>148</v>
      </c>
      <c r="AH209">
        <v>139.80000000000001</v>
      </c>
      <c r="AI209">
        <v>142.19999999999999</v>
      </c>
      <c r="AJ209">
        <f t="shared" si="23"/>
        <v>143.33333333333334</v>
      </c>
    </row>
    <row r="210" spans="1:36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f t="shared" si="20"/>
        <v>137.00714285714284</v>
      </c>
      <c r="S210">
        <v>141.5</v>
      </c>
      <c r="T210">
        <v>129.80000000000001</v>
      </c>
      <c r="U210">
        <v>139.69999999999999</v>
      </c>
      <c r="V210">
        <f t="shared" si="18"/>
        <v>137</v>
      </c>
      <c r="W210">
        <v>163.6</v>
      </c>
      <c r="X210">
        <v>133.4</v>
      </c>
      <c r="Y210">
        <v>135.1</v>
      </c>
      <c r="Z210">
        <f t="shared" si="19"/>
        <v>144.03333333333333</v>
      </c>
      <c r="AA210">
        <v>136.19999999999999</v>
      </c>
      <c r="AB210">
        <v>130.4</v>
      </c>
      <c r="AC210">
        <f t="shared" si="21"/>
        <v>133.30000000000001</v>
      </c>
      <c r="AD210">
        <v>123.3</v>
      </c>
      <c r="AE210">
        <v>130.69999999999999</v>
      </c>
      <c r="AF210">
        <f t="shared" si="22"/>
        <v>127</v>
      </c>
      <c r="AG210">
        <v>145.5</v>
      </c>
      <c r="AH210">
        <v>132.5</v>
      </c>
      <c r="AI210">
        <v>138.9</v>
      </c>
      <c r="AJ210">
        <f t="shared" si="23"/>
        <v>138.96666666666667</v>
      </c>
    </row>
    <row r="211" spans="1:36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f t="shared" si="20"/>
        <v>138.48571428571429</v>
      </c>
      <c r="S211">
        <v>148</v>
      </c>
      <c r="T211">
        <v>139.19999999999999</v>
      </c>
      <c r="U211">
        <v>146.80000000000001</v>
      </c>
      <c r="V211">
        <f t="shared" si="18"/>
        <v>144.66666666666666</v>
      </c>
      <c r="W211">
        <v>164.2</v>
      </c>
      <c r="X211">
        <v>145.30000000000001</v>
      </c>
      <c r="Y211">
        <v>142.19999999999999</v>
      </c>
      <c r="Z211">
        <f t="shared" si="19"/>
        <v>150.56666666666666</v>
      </c>
      <c r="AA211">
        <v>142.1</v>
      </c>
      <c r="AB211">
        <v>132</v>
      </c>
      <c r="AC211">
        <f t="shared" si="21"/>
        <v>137.05000000000001</v>
      </c>
      <c r="AD211">
        <v>125.5</v>
      </c>
      <c r="AE211">
        <v>136.5</v>
      </c>
      <c r="AF211">
        <f t="shared" si="22"/>
        <v>131</v>
      </c>
      <c r="AG211">
        <v>147.80000000000001</v>
      </c>
      <c r="AH211">
        <v>136.30000000000001</v>
      </c>
      <c r="AI211">
        <v>140.80000000000001</v>
      </c>
      <c r="AJ211">
        <f t="shared" si="23"/>
        <v>141.63333333333335</v>
      </c>
    </row>
    <row r="212" spans="1:36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f t="shared" si="20"/>
        <v>139.2428571428571</v>
      </c>
      <c r="S212">
        <v>151.69999999999999</v>
      </c>
      <c r="T212">
        <v>145.5</v>
      </c>
      <c r="U212">
        <v>150.80000000000001</v>
      </c>
      <c r="V212">
        <f t="shared" si="18"/>
        <v>149.33333333333334</v>
      </c>
      <c r="W212">
        <v>164.2</v>
      </c>
      <c r="X212">
        <v>150.30000000000001</v>
      </c>
      <c r="Y212">
        <v>148</v>
      </c>
      <c r="Z212">
        <f t="shared" si="19"/>
        <v>154.16666666666666</v>
      </c>
      <c r="AA212">
        <v>145.4</v>
      </c>
      <c r="AB212">
        <v>133.1</v>
      </c>
      <c r="AC212">
        <f t="shared" si="21"/>
        <v>139.25</v>
      </c>
      <c r="AD212">
        <v>130.30000000000001</v>
      </c>
      <c r="AE212">
        <v>143.1</v>
      </c>
      <c r="AF212">
        <f t="shared" si="22"/>
        <v>136.69999999999999</v>
      </c>
      <c r="AG212">
        <v>150.19999999999999</v>
      </c>
      <c r="AH212">
        <v>140.1</v>
      </c>
      <c r="AI212">
        <v>142.4</v>
      </c>
      <c r="AJ212">
        <f t="shared" si="23"/>
        <v>144.23333333333332</v>
      </c>
    </row>
    <row r="213" spans="1:36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f t="shared" si="20"/>
        <v>137.27857142857141</v>
      </c>
      <c r="S213">
        <v>142.4</v>
      </c>
      <c r="T213">
        <v>130.19999999999999</v>
      </c>
      <c r="U213">
        <v>140.5</v>
      </c>
      <c r="V213">
        <f t="shared" si="18"/>
        <v>137.70000000000002</v>
      </c>
      <c r="W213">
        <v>163.4</v>
      </c>
      <c r="X213">
        <v>136.69999999999999</v>
      </c>
      <c r="Y213">
        <v>135.80000000000001</v>
      </c>
      <c r="Z213">
        <f t="shared" si="19"/>
        <v>145.30000000000001</v>
      </c>
      <c r="AA213">
        <v>136.80000000000001</v>
      </c>
      <c r="AB213">
        <v>130.5</v>
      </c>
      <c r="AC213">
        <f t="shared" si="21"/>
        <v>133.65</v>
      </c>
      <c r="AD213">
        <v>121.2</v>
      </c>
      <c r="AE213">
        <v>131.30000000000001</v>
      </c>
      <c r="AF213">
        <f t="shared" si="22"/>
        <v>126.25</v>
      </c>
      <c r="AG213">
        <v>146.1</v>
      </c>
      <c r="AH213">
        <v>132.19999999999999</v>
      </c>
      <c r="AI213">
        <v>139</v>
      </c>
      <c r="AJ213">
        <f t="shared" si="23"/>
        <v>139.1</v>
      </c>
    </row>
    <row r="214" spans="1:36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f t="shared" si="20"/>
        <v>138.45000000000002</v>
      </c>
      <c r="S214">
        <v>148</v>
      </c>
      <c r="T214">
        <v>139.1</v>
      </c>
      <c r="U214">
        <v>146.69999999999999</v>
      </c>
      <c r="V214">
        <f t="shared" si="18"/>
        <v>144.6</v>
      </c>
      <c r="W214">
        <v>163.4</v>
      </c>
      <c r="X214">
        <v>145.1</v>
      </c>
      <c r="Y214">
        <v>142.19999999999999</v>
      </c>
      <c r="Z214">
        <f t="shared" si="19"/>
        <v>150.23333333333332</v>
      </c>
      <c r="AA214">
        <v>142.1</v>
      </c>
      <c r="AB214">
        <v>132</v>
      </c>
      <c r="AC214">
        <f t="shared" si="21"/>
        <v>137.05000000000001</v>
      </c>
      <c r="AD214">
        <v>125.5</v>
      </c>
      <c r="AE214">
        <v>136.5</v>
      </c>
      <c r="AF214">
        <f t="shared" si="22"/>
        <v>131</v>
      </c>
      <c r="AG214">
        <v>147.80000000000001</v>
      </c>
      <c r="AH214">
        <v>136.30000000000001</v>
      </c>
      <c r="AI214">
        <v>140.80000000000001</v>
      </c>
      <c r="AJ214">
        <f t="shared" si="23"/>
        <v>141.63333333333335</v>
      </c>
    </row>
    <row r="215" spans="1:36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f t="shared" si="20"/>
        <v>138.25000000000003</v>
      </c>
      <c r="S215">
        <v>151.6</v>
      </c>
      <c r="T215">
        <v>145.9</v>
      </c>
      <c r="U215">
        <v>150.80000000000001</v>
      </c>
      <c r="V215">
        <f t="shared" si="18"/>
        <v>149.43333333333334</v>
      </c>
      <c r="W215">
        <v>164.5</v>
      </c>
      <c r="X215">
        <v>149</v>
      </c>
      <c r="Y215">
        <v>149.5</v>
      </c>
      <c r="Z215">
        <f t="shared" si="19"/>
        <v>154.33333333333334</v>
      </c>
      <c r="AA215">
        <v>149.6</v>
      </c>
      <c r="AB215">
        <v>133.19999999999999</v>
      </c>
      <c r="AC215">
        <f t="shared" si="21"/>
        <v>141.39999999999998</v>
      </c>
      <c r="AD215">
        <v>128.9</v>
      </c>
      <c r="AE215">
        <v>143.30000000000001</v>
      </c>
      <c r="AF215">
        <f t="shared" si="22"/>
        <v>136.10000000000002</v>
      </c>
      <c r="AG215">
        <v>155.1</v>
      </c>
      <c r="AH215">
        <v>141.6</v>
      </c>
      <c r="AI215">
        <v>141.9</v>
      </c>
      <c r="AJ215">
        <f t="shared" si="23"/>
        <v>146.20000000000002</v>
      </c>
    </row>
    <row r="216" spans="1:36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f t="shared" si="20"/>
        <v>136.51428571428571</v>
      </c>
      <c r="S216">
        <v>142.69999999999999</v>
      </c>
      <c r="T216">
        <v>130.30000000000001</v>
      </c>
      <c r="U216">
        <v>140.80000000000001</v>
      </c>
      <c r="V216">
        <f t="shared" si="18"/>
        <v>137.93333333333334</v>
      </c>
      <c r="W216">
        <v>164.5</v>
      </c>
      <c r="X216">
        <v>132.4</v>
      </c>
      <c r="Y216">
        <v>136.19999999999999</v>
      </c>
      <c r="Z216">
        <f t="shared" si="19"/>
        <v>144.36666666666665</v>
      </c>
      <c r="AA216">
        <v>137.30000000000001</v>
      </c>
      <c r="AB216">
        <v>130.80000000000001</v>
      </c>
      <c r="AC216">
        <f t="shared" si="21"/>
        <v>134.05000000000001</v>
      </c>
      <c r="AD216">
        <v>118.8</v>
      </c>
      <c r="AE216">
        <v>131.69999999999999</v>
      </c>
      <c r="AF216">
        <f t="shared" si="22"/>
        <v>125.25</v>
      </c>
      <c r="AG216">
        <v>146.5</v>
      </c>
      <c r="AH216">
        <v>131.69999999999999</v>
      </c>
      <c r="AI216">
        <v>138</v>
      </c>
      <c r="AJ216">
        <f t="shared" si="23"/>
        <v>138.73333333333332</v>
      </c>
    </row>
    <row r="217" spans="1:36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f t="shared" si="20"/>
        <v>137.55714285714285</v>
      </c>
      <c r="S217">
        <v>148.1</v>
      </c>
      <c r="T217">
        <v>139.4</v>
      </c>
      <c r="U217">
        <v>146.80000000000001</v>
      </c>
      <c r="V217">
        <f t="shared" si="18"/>
        <v>144.76666666666668</v>
      </c>
      <c r="W217">
        <v>165.5</v>
      </c>
      <c r="X217">
        <v>142.69999999999999</v>
      </c>
      <c r="Y217">
        <v>143.19999999999999</v>
      </c>
      <c r="Z217">
        <f t="shared" si="19"/>
        <v>150.46666666666667</v>
      </c>
      <c r="AA217">
        <v>144.9</v>
      </c>
      <c r="AB217">
        <v>132.19999999999999</v>
      </c>
      <c r="AC217">
        <f t="shared" si="21"/>
        <v>138.55000000000001</v>
      </c>
      <c r="AD217">
        <v>123.6</v>
      </c>
      <c r="AE217">
        <v>136.80000000000001</v>
      </c>
      <c r="AF217">
        <f t="shared" si="22"/>
        <v>130.19999999999999</v>
      </c>
      <c r="AG217">
        <v>150.1</v>
      </c>
      <c r="AH217">
        <v>136.80000000000001</v>
      </c>
      <c r="AI217">
        <v>140.1</v>
      </c>
      <c r="AJ217">
        <f t="shared" si="23"/>
        <v>142.33333333333334</v>
      </c>
    </row>
    <row r="218" spans="1:36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f t="shared" si="20"/>
        <v>137.30714285714288</v>
      </c>
      <c r="S218">
        <v>150.6</v>
      </c>
      <c r="T218">
        <v>145.1</v>
      </c>
      <c r="U218">
        <v>149.9</v>
      </c>
      <c r="V218">
        <f t="shared" si="18"/>
        <v>148.53333333333333</v>
      </c>
      <c r="W218">
        <v>165.5</v>
      </c>
      <c r="X218">
        <v>146.19999999999999</v>
      </c>
      <c r="Y218">
        <v>150.1</v>
      </c>
      <c r="Z218">
        <f t="shared" si="19"/>
        <v>153.93333333333331</v>
      </c>
      <c r="AA218">
        <v>149.6</v>
      </c>
      <c r="AB218">
        <v>133.5</v>
      </c>
      <c r="AC218">
        <f t="shared" si="21"/>
        <v>141.55000000000001</v>
      </c>
      <c r="AD218">
        <v>128.6</v>
      </c>
      <c r="AE218">
        <v>142.9</v>
      </c>
      <c r="AF218">
        <f t="shared" si="22"/>
        <v>135.75</v>
      </c>
      <c r="AG218">
        <v>155.19999999999999</v>
      </c>
      <c r="AH218">
        <v>141.69999999999999</v>
      </c>
      <c r="AI218">
        <v>141</v>
      </c>
      <c r="AJ218">
        <f t="shared" si="23"/>
        <v>145.96666666666667</v>
      </c>
    </row>
    <row r="219" spans="1:36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f t="shared" si="20"/>
        <v>136.35714285714286</v>
      </c>
      <c r="S219">
        <v>143</v>
      </c>
      <c r="T219">
        <v>130.4</v>
      </c>
      <c r="U219">
        <v>141.1</v>
      </c>
      <c r="V219">
        <f t="shared" si="18"/>
        <v>138.16666666666666</v>
      </c>
      <c r="W219">
        <v>165.3</v>
      </c>
      <c r="X219">
        <v>128.6</v>
      </c>
      <c r="Y219">
        <v>136.30000000000001</v>
      </c>
      <c r="Z219">
        <f t="shared" si="19"/>
        <v>143.4</v>
      </c>
      <c r="AA219">
        <v>137.80000000000001</v>
      </c>
      <c r="AB219">
        <v>131.69999999999999</v>
      </c>
      <c r="AC219">
        <f t="shared" si="21"/>
        <v>134.75</v>
      </c>
      <c r="AD219">
        <v>118.6</v>
      </c>
      <c r="AE219">
        <v>131.9</v>
      </c>
      <c r="AF219">
        <f t="shared" si="22"/>
        <v>125.25</v>
      </c>
      <c r="AG219">
        <v>146.6</v>
      </c>
      <c r="AH219">
        <v>131.80000000000001</v>
      </c>
      <c r="AI219">
        <v>138</v>
      </c>
      <c r="AJ219">
        <f t="shared" si="23"/>
        <v>138.79999999999998</v>
      </c>
    </row>
    <row r="220" spans="1:36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f t="shared" si="20"/>
        <v>136.9</v>
      </c>
      <c r="S220">
        <v>147.6</v>
      </c>
      <c r="T220">
        <v>139</v>
      </c>
      <c r="U220">
        <v>146.4</v>
      </c>
      <c r="V220">
        <f t="shared" si="18"/>
        <v>144.33333333333334</v>
      </c>
      <c r="W220">
        <v>165.3</v>
      </c>
      <c r="X220">
        <v>139.5</v>
      </c>
      <c r="Y220">
        <v>143.6</v>
      </c>
      <c r="Z220">
        <f t="shared" si="19"/>
        <v>149.46666666666667</v>
      </c>
      <c r="AA220">
        <v>145.1</v>
      </c>
      <c r="AB220">
        <v>132.80000000000001</v>
      </c>
      <c r="AC220">
        <f t="shared" si="21"/>
        <v>138.94999999999999</v>
      </c>
      <c r="AD220">
        <v>123.3</v>
      </c>
      <c r="AE220">
        <v>136.69999999999999</v>
      </c>
      <c r="AF220">
        <f t="shared" si="22"/>
        <v>130</v>
      </c>
      <c r="AG220">
        <v>150.19999999999999</v>
      </c>
      <c r="AH220">
        <v>136.9</v>
      </c>
      <c r="AI220">
        <v>139.6</v>
      </c>
      <c r="AJ220">
        <f t="shared" si="23"/>
        <v>142.23333333333335</v>
      </c>
    </row>
    <row r="221" spans="1:36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f t="shared" si="20"/>
        <v>137.32857142857145</v>
      </c>
      <c r="S221">
        <v>150.5</v>
      </c>
      <c r="T221">
        <v>146.1</v>
      </c>
      <c r="U221">
        <v>149.9</v>
      </c>
      <c r="V221">
        <f t="shared" si="18"/>
        <v>148.83333333333334</v>
      </c>
      <c r="W221">
        <v>167</v>
      </c>
      <c r="X221">
        <v>145.30000000000001</v>
      </c>
      <c r="Y221">
        <v>150.1</v>
      </c>
      <c r="Z221">
        <f t="shared" si="19"/>
        <v>154.13333333333333</v>
      </c>
      <c r="AA221">
        <v>149.9</v>
      </c>
      <c r="AB221">
        <v>134.9</v>
      </c>
      <c r="AC221">
        <f t="shared" si="21"/>
        <v>142.4</v>
      </c>
      <c r="AD221">
        <v>129.19999999999999</v>
      </c>
      <c r="AE221">
        <v>143.4</v>
      </c>
      <c r="AF221">
        <f t="shared" si="22"/>
        <v>136.30000000000001</v>
      </c>
      <c r="AG221">
        <v>155.5</v>
      </c>
      <c r="AH221">
        <v>142.19999999999999</v>
      </c>
      <c r="AI221">
        <v>141</v>
      </c>
      <c r="AJ221">
        <f t="shared" si="23"/>
        <v>146.23333333333332</v>
      </c>
    </row>
    <row r="222" spans="1:36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f t="shared" si="20"/>
        <v>137.09285714285716</v>
      </c>
      <c r="S222">
        <v>143.30000000000001</v>
      </c>
      <c r="T222">
        <v>130.80000000000001</v>
      </c>
      <c r="U222">
        <v>141.4</v>
      </c>
      <c r="V222">
        <f t="shared" si="18"/>
        <v>138.5</v>
      </c>
      <c r="W222">
        <v>167</v>
      </c>
      <c r="X222">
        <v>127.1</v>
      </c>
      <c r="Y222">
        <v>136.6</v>
      </c>
      <c r="Z222">
        <f t="shared" si="19"/>
        <v>143.56666666666669</v>
      </c>
      <c r="AA222">
        <v>138.5</v>
      </c>
      <c r="AB222">
        <v>133</v>
      </c>
      <c r="AC222">
        <f t="shared" si="21"/>
        <v>135.75</v>
      </c>
      <c r="AD222">
        <v>119.2</v>
      </c>
      <c r="AE222">
        <v>132.19999999999999</v>
      </c>
      <c r="AF222">
        <f t="shared" si="22"/>
        <v>125.69999999999999</v>
      </c>
      <c r="AG222">
        <v>146.6</v>
      </c>
      <c r="AH222">
        <v>132.4</v>
      </c>
      <c r="AI222">
        <v>138.6</v>
      </c>
      <c r="AJ222">
        <f t="shared" si="23"/>
        <v>139.20000000000002</v>
      </c>
    </row>
    <row r="223" spans="1:36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f t="shared" si="20"/>
        <v>137.17857142857142</v>
      </c>
      <c r="S223">
        <v>147.69999999999999</v>
      </c>
      <c r="T223">
        <v>139.69999999999999</v>
      </c>
      <c r="U223">
        <v>146.5</v>
      </c>
      <c r="V223">
        <f t="shared" si="18"/>
        <v>144.63333333333333</v>
      </c>
      <c r="W223">
        <v>167.5</v>
      </c>
      <c r="X223">
        <v>138.4</v>
      </c>
      <c r="Y223">
        <v>143.69999999999999</v>
      </c>
      <c r="Z223">
        <f t="shared" si="19"/>
        <v>149.86666666666665</v>
      </c>
      <c r="AA223">
        <v>145.6</v>
      </c>
      <c r="AB223">
        <v>134.1</v>
      </c>
      <c r="AC223">
        <f t="shared" si="21"/>
        <v>139.85</v>
      </c>
      <c r="AD223">
        <v>123.9</v>
      </c>
      <c r="AE223">
        <v>137.1</v>
      </c>
      <c r="AF223">
        <f t="shared" si="22"/>
        <v>130.5</v>
      </c>
      <c r="AG223">
        <v>150.30000000000001</v>
      </c>
      <c r="AH223">
        <v>137.4</v>
      </c>
      <c r="AI223">
        <v>139.9</v>
      </c>
      <c r="AJ223">
        <f t="shared" si="23"/>
        <v>142.53333333333333</v>
      </c>
    </row>
    <row r="224" spans="1:36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f t="shared" si="20"/>
        <v>137.43571428571431</v>
      </c>
      <c r="S224">
        <v>150.80000000000001</v>
      </c>
      <c r="T224">
        <v>146.1</v>
      </c>
      <c r="U224">
        <v>150.1</v>
      </c>
      <c r="V224">
        <f t="shared" si="18"/>
        <v>149</v>
      </c>
      <c r="W224">
        <v>167.5</v>
      </c>
      <c r="X224">
        <v>146.4</v>
      </c>
      <c r="Y224">
        <v>150</v>
      </c>
      <c r="Z224">
        <f t="shared" si="19"/>
        <v>154.63333333333333</v>
      </c>
      <c r="AA224">
        <v>150.4</v>
      </c>
      <c r="AB224">
        <v>134</v>
      </c>
      <c r="AC224">
        <f t="shared" si="21"/>
        <v>142.19999999999999</v>
      </c>
      <c r="AD224">
        <v>129.9</v>
      </c>
      <c r="AE224">
        <v>143.80000000000001</v>
      </c>
      <c r="AF224">
        <f t="shared" si="22"/>
        <v>136.85000000000002</v>
      </c>
      <c r="AG224">
        <v>155.5</v>
      </c>
      <c r="AH224">
        <v>142.4</v>
      </c>
      <c r="AI224">
        <v>141.19999999999999</v>
      </c>
      <c r="AJ224">
        <f t="shared" si="23"/>
        <v>146.36666666666665</v>
      </c>
    </row>
    <row r="225" spans="1:36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f t="shared" si="20"/>
        <v>138.12142857142857</v>
      </c>
      <c r="S225">
        <v>143.5</v>
      </c>
      <c r="T225">
        <v>131.19999999999999</v>
      </c>
      <c r="U225">
        <v>141.6</v>
      </c>
      <c r="V225">
        <f t="shared" si="18"/>
        <v>138.76666666666665</v>
      </c>
      <c r="W225">
        <v>166.8</v>
      </c>
      <c r="X225">
        <v>128.80000000000001</v>
      </c>
      <c r="Y225">
        <v>136.80000000000001</v>
      </c>
      <c r="Z225">
        <f t="shared" si="19"/>
        <v>144.13333333333335</v>
      </c>
      <c r="AA225">
        <v>139.19999999999999</v>
      </c>
      <c r="AB225">
        <v>132.5</v>
      </c>
      <c r="AC225">
        <f t="shared" si="21"/>
        <v>135.85</v>
      </c>
      <c r="AD225">
        <v>119.9</v>
      </c>
      <c r="AE225">
        <v>133</v>
      </c>
      <c r="AF225">
        <f t="shared" si="22"/>
        <v>126.45</v>
      </c>
      <c r="AG225">
        <v>146.69999999999999</v>
      </c>
      <c r="AH225">
        <v>132.80000000000001</v>
      </c>
      <c r="AI225">
        <v>139.5</v>
      </c>
      <c r="AJ225">
        <f t="shared" si="23"/>
        <v>139.66666666666666</v>
      </c>
    </row>
    <row r="226" spans="1:36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f t="shared" si="20"/>
        <v>137.6</v>
      </c>
      <c r="S226">
        <v>147.9</v>
      </c>
      <c r="T226">
        <v>139.9</v>
      </c>
      <c r="U226">
        <v>146.69999999999999</v>
      </c>
      <c r="V226">
        <f t="shared" si="18"/>
        <v>144.83333333333334</v>
      </c>
      <c r="W226">
        <v>166.8</v>
      </c>
      <c r="X226">
        <v>139.69999999999999</v>
      </c>
      <c r="Y226">
        <v>143.80000000000001</v>
      </c>
      <c r="Z226">
        <f t="shared" si="19"/>
        <v>150.1</v>
      </c>
      <c r="AA226">
        <v>146.19999999999999</v>
      </c>
      <c r="AB226">
        <v>133.4</v>
      </c>
      <c r="AC226">
        <f t="shared" si="21"/>
        <v>139.80000000000001</v>
      </c>
      <c r="AD226">
        <v>124.6</v>
      </c>
      <c r="AE226">
        <v>137.69999999999999</v>
      </c>
      <c r="AF226">
        <f t="shared" si="22"/>
        <v>131.14999999999998</v>
      </c>
      <c r="AG226">
        <v>150.30000000000001</v>
      </c>
      <c r="AH226">
        <v>137.69999999999999</v>
      </c>
      <c r="AI226">
        <v>140.4</v>
      </c>
      <c r="AJ226">
        <f t="shared" si="23"/>
        <v>142.79999999999998</v>
      </c>
    </row>
    <row r="227" spans="1:36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f t="shared" si="20"/>
        <v>138.95714285714286</v>
      </c>
      <c r="S227">
        <v>151.30000000000001</v>
      </c>
      <c r="T227">
        <v>146.6</v>
      </c>
      <c r="U227">
        <v>150.69999999999999</v>
      </c>
      <c r="V227">
        <f t="shared" si="18"/>
        <v>149.53333333333333</v>
      </c>
      <c r="W227">
        <v>167.8</v>
      </c>
      <c r="X227">
        <v>146.9</v>
      </c>
      <c r="Y227">
        <v>149.5</v>
      </c>
      <c r="Z227">
        <f t="shared" si="19"/>
        <v>154.73333333333335</v>
      </c>
      <c r="AA227">
        <v>151.30000000000001</v>
      </c>
      <c r="AB227">
        <v>133.9</v>
      </c>
      <c r="AC227">
        <f t="shared" si="21"/>
        <v>142.60000000000002</v>
      </c>
      <c r="AD227">
        <v>130.19999999999999</v>
      </c>
      <c r="AE227">
        <v>145.9</v>
      </c>
      <c r="AF227">
        <f t="shared" si="22"/>
        <v>138.05000000000001</v>
      </c>
      <c r="AG227">
        <v>156.69999999999999</v>
      </c>
      <c r="AH227">
        <v>142.9</v>
      </c>
      <c r="AI227">
        <v>142.4</v>
      </c>
      <c r="AJ227">
        <f t="shared" si="23"/>
        <v>147.33333333333334</v>
      </c>
    </row>
    <row r="228" spans="1:36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f t="shared" si="20"/>
        <v>141.26428571428573</v>
      </c>
      <c r="S228">
        <v>144</v>
      </c>
      <c r="T228">
        <v>131.69999999999999</v>
      </c>
      <c r="U228">
        <v>142.19999999999999</v>
      </c>
      <c r="V228">
        <f t="shared" si="18"/>
        <v>139.29999999999998</v>
      </c>
      <c r="W228">
        <v>167.8</v>
      </c>
      <c r="X228">
        <v>129.4</v>
      </c>
      <c r="Y228">
        <v>137.19999999999999</v>
      </c>
      <c r="Z228">
        <f t="shared" si="19"/>
        <v>144.80000000000001</v>
      </c>
      <c r="AA228">
        <v>139.80000000000001</v>
      </c>
      <c r="AB228">
        <v>132.6</v>
      </c>
      <c r="AC228">
        <f t="shared" si="21"/>
        <v>136.19999999999999</v>
      </c>
      <c r="AD228">
        <v>120.1</v>
      </c>
      <c r="AE228">
        <v>134</v>
      </c>
      <c r="AF228">
        <f t="shared" si="22"/>
        <v>127.05</v>
      </c>
      <c r="AG228">
        <v>148</v>
      </c>
      <c r="AH228">
        <v>133.30000000000001</v>
      </c>
      <c r="AI228">
        <v>141.5</v>
      </c>
      <c r="AJ228">
        <f t="shared" si="23"/>
        <v>140.93333333333334</v>
      </c>
    </row>
    <row r="229" spans="1:36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f t="shared" si="20"/>
        <v>139.71428571428572</v>
      </c>
      <c r="S229">
        <v>148.4</v>
      </c>
      <c r="T229">
        <v>140.4</v>
      </c>
      <c r="U229">
        <v>147.30000000000001</v>
      </c>
      <c r="V229">
        <f t="shared" si="18"/>
        <v>145.36666666666667</v>
      </c>
      <c r="W229">
        <v>169</v>
      </c>
      <c r="X229">
        <v>140.30000000000001</v>
      </c>
      <c r="Y229">
        <v>143.69999999999999</v>
      </c>
      <c r="Z229">
        <f t="shared" si="19"/>
        <v>151</v>
      </c>
      <c r="AA229">
        <v>146.9</v>
      </c>
      <c r="AB229">
        <v>133.4</v>
      </c>
      <c r="AC229">
        <f t="shared" si="21"/>
        <v>140.15</v>
      </c>
      <c r="AD229">
        <v>124.9</v>
      </c>
      <c r="AE229">
        <v>139.19999999999999</v>
      </c>
      <c r="AF229">
        <f t="shared" si="22"/>
        <v>132.05000000000001</v>
      </c>
      <c r="AG229">
        <v>151.6</v>
      </c>
      <c r="AH229">
        <v>138.19999999999999</v>
      </c>
      <c r="AI229">
        <v>142</v>
      </c>
      <c r="AJ229">
        <f t="shared" si="23"/>
        <v>143.93333333333331</v>
      </c>
    </row>
    <row r="230" spans="1:36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f t="shared" si="20"/>
        <v>140.6</v>
      </c>
      <c r="S230">
        <v>151.4</v>
      </c>
      <c r="T230">
        <v>146.5</v>
      </c>
      <c r="U230">
        <v>150.69999999999999</v>
      </c>
      <c r="V230">
        <f t="shared" si="18"/>
        <v>149.53333333333333</v>
      </c>
      <c r="W230">
        <v>169</v>
      </c>
      <c r="X230">
        <v>147.80000000000001</v>
      </c>
      <c r="Y230">
        <v>149.6</v>
      </c>
      <c r="Z230">
        <f t="shared" si="19"/>
        <v>155.46666666666667</v>
      </c>
      <c r="AA230">
        <v>151.69999999999999</v>
      </c>
      <c r="AB230">
        <v>134.80000000000001</v>
      </c>
      <c r="AC230">
        <f t="shared" si="21"/>
        <v>143.25</v>
      </c>
      <c r="AD230">
        <v>130.19999999999999</v>
      </c>
      <c r="AE230">
        <v>146.4</v>
      </c>
      <c r="AF230">
        <f t="shared" si="22"/>
        <v>138.30000000000001</v>
      </c>
      <c r="AG230">
        <v>157.69999999999999</v>
      </c>
      <c r="AH230">
        <v>143.30000000000001</v>
      </c>
      <c r="AI230">
        <v>143.6</v>
      </c>
      <c r="AJ230">
        <f t="shared" si="23"/>
        <v>148.20000000000002</v>
      </c>
    </row>
    <row r="231" spans="1:36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f t="shared" si="20"/>
        <v>142.85714285714283</v>
      </c>
      <c r="S231">
        <v>144.30000000000001</v>
      </c>
      <c r="T231">
        <v>131.69999999999999</v>
      </c>
      <c r="U231">
        <v>142.4</v>
      </c>
      <c r="V231">
        <f t="shared" si="18"/>
        <v>139.46666666666667</v>
      </c>
      <c r="W231">
        <v>169.5</v>
      </c>
      <c r="X231">
        <v>130.5</v>
      </c>
      <c r="Y231">
        <v>137.4</v>
      </c>
      <c r="Z231">
        <f t="shared" si="19"/>
        <v>145.79999999999998</v>
      </c>
      <c r="AA231">
        <v>140.30000000000001</v>
      </c>
      <c r="AB231">
        <v>133.69999999999999</v>
      </c>
      <c r="AC231">
        <f t="shared" si="21"/>
        <v>137</v>
      </c>
      <c r="AD231">
        <v>119.6</v>
      </c>
      <c r="AE231">
        <v>134.30000000000001</v>
      </c>
      <c r="AF231">
        <f t="shared" si="22"/>
        <v>126.95</v>
      </c>
      <c r="AG231">
        <v>148.9</v>
      </c>
      <c r="AH231">
        <v>133.6</v>
      </c>
      <c r="AI231">
        <v>142.1</v>
      </c>
      <c r="AJ231">
        <f t="shared" si="23"/>
        <v>141.53333333333333</v>
      </c>
    </row>
    <row r="232" spans="1:36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f t="shared" si="20"/>
        <v>141.35714285714286</v>
      </c>
      <c r="S232">
        <v>148.6</v>
      </c>
      <c r="T232">
        <v>140.4</v>
      </c>
      <c r="U232">
        <v>147.4</v>
      </c>
      <c r="V232">
        <f t="shared" si="18"/>
        <v>145.46666666666667</v>
      </c>
      <c r="W232">
        <v>169.5</v>
      </c>
      <c r="X232">
        <v>141.19999999999999</v>
      </c>
      <c r="Y232">
        <v>143.80000000000001</v>
      </c>
      <c r="Z232">
        <f t="shared" si="19"/>
        <v>151.5</v>
      </c>
      <c r="AA232">
        <v>147.4</v>
      </c>
      <c r="AB232">
        <v>134.30000000000001</v>
      </c>
      <c r="AC232">
        <f t="shared" si="21"/>
        <v>140.85000000000002</v>
      </c>
      <c r="AD232">
        <v>124.6</v>
      </c>
      <c r="AE232">
        <v>139.6</v>
      </c>
      <c r="AF232">
        <f t="shared" si="22"/>
        <v>132.1</v>
      </c>
      <c r="AG232">
        <v>152.5</v>
      </c>
      <c r="AH232">
        <v>138.6</v>
      </c>
      <c r="AI232">
        <v>142.9</v>
      </c>
      <c r="AJ232">
        <f t="shared" si="23"/>
        <v>144.66666666666666</v>
      </c>
    </row>
    <row r="233" spans="1:36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f t="shared" si="20"/>
        <v>142.24285714285713</v>
      </c>
      <c r="S233">
        <v>151.6</v>
      </c>
      <c r="T233">
        <v>146.6</v>
      </c>
      <c r="U233">
        <v>150.9</v>
      </c>
      <c r="V233">
        <f t="shared" si="18"/>
        <v>149.70000000000002</v>
      </c>
      <c r="W233">
        <v>171.2</v>
      </c>
      <c r="X233">
        <v>146.80000000000001</v>
      </c>
      <c r="Y233">
        <v>150</v>
      </c>
      <c r="Z233">
        <f t="shared" si="19"/>
        <v>156</v>
      </c>
      <c r="AA233">
        <v>152.19999999999999</v>
      </c>
      <c r="AB233">
        <v>136.1</v>
      </c>
      <c r="AC233">
        <f t="shared" si="21"/>
        <v>144.14999999999998</v>
      </c>
      <c r="AD233">
        <v>131.19999999999999</v>
      </c>
      <c r="AE233">
        <v>147.5</v>
      </c>
      <c r="AF233">
        <f t="shared" si="22"/>
        <v>139.35</v>
      </c>
      <c r="AG233">
        <v>159.1</v>
      </c>
      <c r="AH233">
        <v>144.19999999999999</v>
      </c>
      <c r="AI233">
        <v>144.9</v>
      </c>
      <c r="AJ233">
        <f t="shared" si="23"/>
        <v>149.39999999999998</v>
      </c>
    </row>
    <row r="234" spans="1:36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f t="shared" si="20"/>
        <v>144.6142857142857</v>
      </c>
      <c r="S234">
        <v>144.69999999999999</v>
      </c>
      <c r="T234">
        <v>131.9</v>
      </c>
      <c r="U234">
        <v>142.69999999999999</v>
      </c>
      <c r="V234">
        <f t="shared" si="18"/>
        <v>139.76666666666668</v>
      </c>
      <c r="W234">
        <v>171.2</v>
      </c>
      <c r="X234">
        <v>127</v>
      </c>
      <c r="Y234">
        <v>137.69999999999999</v>
      </c>
      <c r="Z234">
        <f t="shared" si="19"/>
        <v>145.29999999999998</v>
      </c>
      <c r="AA234">
        <v>140.80000000000001</v>
      </c>
      <c r="AB234">
        <v>135.1</v>
      </c>
      <c r="AC234">
        <f t="shared" si="21"/>
        <v>137.94999999999999</v>
      </c>
      <c r="AD234">
        <v>120.6</v>
      </c>
      <c r="AE234">
        <v>135</v>
      </c>
      <c r="AF234">
        <f t="shared" si="22"/>
        <v>127.8</v>
      </c>
      <c r="AG234">
        <v>150.4</v>
      </c>
      <c r="AH234">
        <v>134.5</v>
      </c>
      <c r="AI234">
        <v>143.30000000000001</v>
      </c>
      <c r="AJ234">
        <f t="shared" si="23"/>
        <v>142.73333333333332</v>
      </c>
    </row>
    <row r="235" spans="1:36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f t="shared" si="20"/>
        <v>143.05000000000001</v>
      </c>
      <c r="S235">
        <v>148.9</v>
      </c>
      <c r="T235">
        <v>140.5</v>
      </c>
      <c r="U235">
        <v>147.6</v>
      </c>
      <c r="V235">
        <f t="shared" si="18"/>
        <v>145.66666666666666</v>
      </c>
      <c r="W235">
        <v>171.8</v>
      </c>
      <c r="X235">
        <v>139.30000000000001</v>
      </c>
      <c r="Y235">
        <v>144.19999999999999</v>
      </c>
      <c r="Z235">
        <f t="shared" si="19"/>
        <v>151.76666666666668</v>
      </c>
      <c r="AA235">
        <v>147.9</v>
      </c>
      <c r="AB235">
        <v>135.69999999999999</v>
      </c>
      <c r="AC235">
        <f t="shared" si="21"/>
        <v>141.80000000000001</v>
      </c>
      <c r="AD235">
        <v>125.6</v>
      </c>
      <c r="AE235">
        <v>140.5</v>
      </c>
      <c r="AF235">
        <f t="shared" si="22"/>
        <v>133.05000000000001</v>
      </c>
      <c r="AG235">
        <v>154</v>
      </c>
      <c r="AH235">
        <v>139.5</v>
      </c>
      <c r="AI235">
        <v>144.19999999999999</v>
      </c>
      <c r="AJ235">
        <f t="shared" si="23"/>
        <v>145.9</v>
      </c>
    </row>
    <row r="236" spans="1:36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f t="shared" si="20"/>
        <v>142.82857142857145</v>
      </c>
      <c r="S236">
        <v>151.80000000000001</v>
      </c>
      <c r="T236">
        <v>146.6</v>
      </c>
      <c r="U236">
        <v>151.1</v>
      </c>
      <c r="V236">
        <f t="shared" si="18"/>
        <v>149.83333333333334</v>
      </c>
      <c r="W236">
        <v>171.8</v>
      </c>
      <c r="X236">
        <v>146.4</v>
      </c>
      <c r="Y236">
        <v>150.19999999999999</v>
      </c>
      <c r="Z236">
        <f t="shared" si="19"/>
        <v>156.13333333333335</v>
      </c>
      <c r="AA236">
        <v>152.69999999999999</v>
      </c>
      <c r="AB236">
        <v>138.80000000000001</v>
      </c>
      <c r="AC236">
        <f t="shared" si="21"/>
        <v>145.75</v>
      </c>
      <c r="AD236">
        <v>131.4</v>
      </c>
      <c r="AE236">
        <v>148</v>
      </c>
      <c r="AF236">
        <f t="shared" si="22"/>
        <v>139.69999999999999</v>
      </c>
      <c r="AG236">
        <v>159.69999999999999</v>
      </c>
      <c r="AH236">
        <v>144.9</v>
      </c>
      <c r="AI236">
        <v>145.69999999999999</v>
      </c>
      <c r="AJ236">
        <f t="shared" si="23"/>
        <v>150.1</v>
      </c>
    </row>
    <row r="237" spans="1:36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f t="shared" si="20"/>
        <v>145.5</v>
      </c>
      <c r="S237">
        <v>145</v>
      </c>
      <c r="T237">
        <v>132.19999999999999</v>
      </c>
      <c r="U237">
        <v>143</v>
      </c>
      <c r="V237">
        <f t="shared" si="18"/>
        <v>140.06666666666666</v>
      </c>
      <c r="W237">
        <v>170.7</v>
      </c>
      <c r="X237">
        <v>125.5</v>
      </c>
      <c r="Y237">
        <v>138.1</v>
      </c>
      <c r="Z237">
        <f t="shared" si="19"/>
        <v>144.76666666666665</v>
      </c>
      <c r="AA237">
        <v>141.5</v>
      </c>
      <c r="AB237">
        <v>137.80000000000001</v>
      </c>
      <c r="AC237">
        <f t="shared" si="21"/>
        <v>139.65</v>
      </c>
      <c r="AD237">
        <v>120.8</v>
      </c>
      <c r="AE237">
        <v>135.4</v>
      </c>
      <c r="AF237">
        <f t="shared" si="22"/>
        <v>128.1</v>
      </c>
      <c r="AG237">
        <v>151.5</v>
      </c>
      <c r="AH237">
        <v>135.30000000000001</v>
      </c>
      <c r="AI237">
        <v>144.19999999999999</v>
      </c>
      <c r="AJ237">
        <f t="shared" si="23"/>
        <v>143.66666666666666</v>
      </c>
    </row>
    <row r="238" spans="1:36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f t="shared" si="20"/>
        <v>143.73571428571429</v>
      </c>
      <c r="S238">
        <v>149.1</v>
      </c>
      <c r="T238">
        <v>140.6</v>
      </c>
      <c r="U238">
        <v>147.9</v>
      </c>
      <c r="V238">
        <f t="shared" si="18"/>
        <v>145.86666666666667</v>
      </c>
      <c r="W238">
        <v>170.7</v>
      </c>
      <c r="X238">
        <v>138.5</v>
      </c>
      <c r="Y238">
        <v>144.5</v>
      </c>
      <c r="Z238">
        <f t="shared" si="19"/>
        <v>151.23333333333332</v>
      </c>
      <c r="AA238">
        <v>148.5</v>
      </c>
      <c r="AB238">
        <v>138.4</v>
      </c>
      <c r="AC238">
        <f t="shared" si="21"/>
        <v>143.44999999999999</v>
      </c>
      <c r="AD238">
        <v>125.8</v>
      </c>
      <c r="AE238">
        <v>140.9</v>
      </c>
      <c r="AF238">
        <f t="shared" si="22"/>
        <v>133.35</v>
      </c>
      <c r="AG238">
        <v>154.9</v>
      </c>
      <c r="AH238">
        <v>140.19999999999999</v>
      </c>
      <c r="AI238">
        <v>145</v>
      </c>
      <c r="AJ238">
        <f t="shared" si="23"/>
        <v>146.70000000000002</v>
      </c>
    </row>
    <row r="239" spans="1:36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f t="shared" si="20"/>
        <v>143.8857142857143</v>
      </c>
      <c r="S239">
        <v>151.69999999999999</v>
      </c>
      <c r="T239">
        <v>146.6</v>
      </c>
      <c r="U239">
        <v>151</v>
      </c>
      <c r="V239">
        <f t="shared" si="18"/>
        <v>149.76666666666665</v>
      </c>
      <c r="W239">
        <v>172.1</v>
      </c>
      <c r="X239">
        <v>146.9</v>
      </c>
      <c r="Y239">
        <v>150.30000000000001</v>
      </c>
      <c r="Z239">
        <f t="shared" si="19"/>
        <v>156.43333333333334</v>
      </c>
      <c r="AA239">
        <v>153.4</v>
      </c>
      <c r="AB239">
        <v>140.19999999999999</v>
      </c>
      <c r="AC239">
        <f t="shared" si="21"/>
        <v>146.80000000000001</v>
      </c>
      <c r="AD239">
        <v>131.6</v>
      </c>
      <c r="AE239">
        <v>148.30000000000001</v>
      </c>
      <c r="AF239">
        <f t="shared" si="22"/>
        <v>139.94999999999999</v>
      </c>
      <c r="AG239">
        <v>160.19999999999999</v>
      </c>
      <c r="AH239">
        <v>145.4</v>
      </c>
      <c r="AI239">
        <v>146.69999999999999</v>
      </c>
      <c r="AJ239">
        <f t="shared" si="23"/>
        <v>150.76666666666668</v>
      </c>
    </row>
    <row r="240" spans="1:36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f t="shared" si="20"/>
        <v>145.96428571428572</v>
      </c>
      <c r="S240">
        <v>145.30000000000001</v>
      </c>
      <c r="T240">
        <v>132.19999999999999</v>
      </c>
      <c r="U240">
        <v>143.30000000000001</v>
      </c>
      <c r="V240">
        <f t="shared" si="18"/>
        <v>140.26666666666668</v>
      </c>
      <c r="W240">
        <v>172.1</v>
      </c>
      <c r="X240">
        <v>126.6</v>
      </c>
      <c r="Y240">
        <v>138.30000000000001</v>
      </c>
      <c r="Z240">
        <f t="shared" si="19"/>
        <v>145.66666666666666</v>
      </c>
      <c r="AA240">
        <v>141.9</v>
      </c>
      <c r="AB240">
        <v>139</v>
      </c>
      <c r="AC240">
        <f t="shared" si="21"/>
        <v>140.44999999999999</v>
      </c>
      <c r="AD240">
        <v>121.2</v>
      </c>
      <c r="AE240">
        <v>135.9</v>
      </c>
      <c r="AF240">
        <f t="shared" si="22"/>
        <v>128.55000000000001</v>
      </c>
      <c r="AG240">
        <v>151.6</v>
      </c>
      <c r="AH240">
        <v>135.69999999999999</v>
      </c>
      <c r="AI240">
        <v>144.69999999999999</v>
      </c>
      <c r="AJ240">
        <f t="shared" si="23"/>
        <v>143.99999999999997</v>
      </c>
    </row>
    <row r="241" spans="1:36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f t="shared" si="20"/>
        <v>144.58571428571426</v>
      </c>
      <c r="S241">
        <v>149.19999999999999</v>
      </c>
      <c r="T241">
        <v>140.6</v>
      </c>
      <c r="U241">
        <v>147.9</v>
      </c>
      <c r="V241">
        <f t="shared" si="18"/>
        <v>145.89999999999998</v>
      </c>
      <c r="W241">
        <v>173.5</v>
      </c>
      <c r="X241">
        <v>139.19999999999999</v>
      </c>
      <c r="Y241">
        <v>144.6</v>
      </c>
      <c r="Z241">
        <f t="shared" si="19"/>
        <v>152.43333333333331</v>
      </c>
      <c r="AA241">
        <v>149</v>
      </c>
      <c r="AB241">
        <v>139.69999999999999</v>
      </c>
      <c r="AC241">
        <f t="shared" si="21"/>
        <v>144.35</v>
      </c>
      <c r="AD241">
        <v>126.1</v>
      </c>
      <c r="AE241">
        <v>141.30000000000001</v>
      </c>
      <c r="AF241">
        <f t="shared" si="22"/>
        <v>133.69999999999999</v>
      </c>
      <c r="AG241">
        <v>155.19999999999999</v>
      </c>
      <c r="AH241">
        <v>140.69999999999999</v>
      </c>
      <c r="AI241">
        <v>145.80000000000001</v>
      </c>
      <c r="AJ241">
        <f t="shared" si="23"/>
        <v>147.23333333333332</v>
      </c>
    </row>
    <row r="242" spans="1:36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f t="shared" si="20"/>
        <v>145.94285714285712</v>
      </c>
      <c r="S242">
        <v>151.69999999999999</v>
      </c>
      <c r="T242">
        <v>146.69999999999999</v>
      </c>
      <c r="U242">
        <v>151</v>
      </c>
      <c r="V242">
        <f t="shared" si="18"/>
        <v>149.79999999999998</v>
      </c>
      <c r="W242">
        <v>173.5</v>
      </c>
      <c r="X242">
        <v>147.69999999999999</v>
      </c>
      <c r="Y242">
        <v>150.6</v>
      </c>
      <c r="Z242">
        <f t="shared" si="19"/>
        <v>157.26666666666665</v>
      </c>
      <c r="AA242">
        <v>153.69999999999999</v>
      </c>
      <c r="AB242">
        <v>140.30000000000001</v>
      </c>
      <c r="AC242">
        <f t="shared" si="21"/>
        <v>147</v>
      </c>
      <c r="AD242">
        <v>131.69999999999999</v>
      </c>
      <c r="AE242">
        <v>148.69999999999999</v>
      </c>
      <c r="AF242">
        <f t="shared" si="22"/>
        <v>140.19999999999999</v>
      </c>
      <c r="AG242">
        <v>160.69999999999999</v>
      </c>
      <c r="AH242">
        <v>145.69999999999999</v>
      </c>
      <c r="AI242">
        <v>148.30000000000001</v>
      </c>
      <c r="AJ242">
        <f t="shared" si="23"/>
        <v>151.56666666666666</v>
      </c>
    </row>
    <row r="243" spans="1:36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f t="shared" si="20"/>
        <v>147.99285714285716</v>
      </c>
      <c r="S243">
        <v>145.9</v>
      </c>
      <c r="T243">
        <v>132.4</v>
      </c>
      <c r="U243">
        <v>143.9</v>
      </c>
      <c r="V243">
        <f t="shared" si="18"/>
        <v>140.73333333333335</v>
      </c>
      <c r="W243">
        <v>173.5</v>
      </c>
      <c r="X243">
        <v>128.9</v>
      </c>
      <c r="Y243">
        <v>138.69999999999999</v>
      </c>
      <c r="Z243">
        <f t="shared" si="19"/>
        <v>147.03333333333333</v>
      </c>
      <c r="AA243">
        <v>142.4</v>
      </c>
      <c r="AB243">
        <v>139.5</v>
      </c>
      <c r="AC243">
        <f t="shared" si="21"/>
        <v>140.94999999999999</v>
      </c>
      <c r="AD243">
        <v>121.5</v>
      </c>
      <c r="AE243">
        <v>136.19999999999999</v>
      </c>
      <c r="AF243">
        <f t="shared" si="22"/>
        <v>128.85</v>
      </c>
      <c r="AG243">
        <v>151.69999999999999</v>
      </c>
      <c r="AH243">
        <v>136</v>
      </c>
      <c r="AI243">
        <v>146</v>
      </c>
      <c r="AJ243">
        <f t="shared" si="23"/>
        <v>144.56666666666666</v>
      </c>
    </row>
    <row r="244" spans="1:36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f t="shared" si="20"/>
        <v>146.62142857142857</v>
      </c>
      <c r="S244">
        <v>149.4</v>
      </c>
      <c r="T244">
        <v>140.80000000000001</v>
      </c>
      <c r="U244">
        <v>148.19999999999999</v>
      </c>
      <c r="V244">
        <f t="shared" si="18"/>
        <v>146.13333333333335</v>
      </c>
      <c r="W244">
        <v>173.5</v>
      </c>
      <c r="X244">
        <v>140.6</v>
      </c>
      <c r="Y244">
        <v>145</v>
      </c>
      <c r="Z244">
        <f t="shared" si="19"/>
        <v>153.03333333333333</v>
      </c>
      <c r="AA244">
        <v>149.4</v>
      </c>
      <c r="AB244">
        <v>140</v>
      </c>
      <c r="AC244">
        <f t="shared" si="21"/>
        <v>144.69999999999999</v>
      </c>
      <c r="AD244">
        <v>126.3</v>
      </c>
      <c r="AE244">
        <v>141.69999999999999</v>
      </c>
      <c r="AF244">
        <f t="shared" si="22"/>
        <v>134</v>
      </c>
      <c r="AG244">
        <v>155.4</v>
      </c>
      <c r="AH244">
        <v>141</v>
      </c>
      <c r="AI244">
        <v>147.19999999999999</v>
      </c>
      <c r="AJ244">
        <f t="shared" si="23"/>
        <v>147.86666666666665</v>
      </c>
    </row>
    <row r="245" spans="1:36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f t="shared" si="20"/>
        <v>147.98571428571429</v>
      </c>
      <c r="S245">
        <v>152.30000000000001</v>
      </c>
      <c r="T245">
        <v>147</v>
      </c>
      <c r="U245">
        <v>151.5</v>
      </c>
      <c r="V245">
        <f t="shared" si="18"/>
        <v>150.26666666666668</v>
      </c>
      <c r="W245">
        <v>175.2</v>
      </c>
      <c r="X245">
        <v>148.4</v>
      </c>
      <c r="Y245">
        <v>150.9</v>
      </c>
      <c r="Z245">
        <f t="shared" si="19"/>
        <v>158.16666666666666</v>
      </c>
      <c r="AA245">
        <v>154.30000000000001</v>
      </c>
      <c r="AB245">
        <v>140.6</v>
      </c>
      <c r="AC245">
        <f t="shared" si="21"/>
        <v>147.44999999999999</v>
      </c>
      <c r="AD245">
        <v>132.1</v>
      </c>
      <c r="AE245">
        <v>149.1</v>
      </c>
      <c r="AF245">
        <f t="shared" si="22"/>
        <v>140.6</v>
      </c>
      <c r="AG245">
        <v>160.80000000000001</v>
      </c>
      <c r="AH245">
        <v>146.1</v>
      </c>
      <c r="AI245">
        <v>149.9</v>
      </c>
      <c r="AJ245">
        <f t="shared" si="23"/>
        <v>152.26666666666665</v>
      </c>
    </row>
    <row r="246" spans="1:36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f t="shared" si="20"/>
        <v>149.56428571428569</v>
      </c>
      <c r="S246">
        <v>146.30000000000001</v>
      </c>
      <c r="T246">
        <v>132.6</v>
      </c>
      <c r="U246">
        <v>144.19999999999999</v>
      </c>
      <c r="V246">
        <f t="shared" si="18"/>
        <v>141.03333333333333</v>
      </c>
      <c r="W246">
        <v>175.2</v>
      </c>
      <c r="X246">
        <v>132.19999999999999</v>
      </c>
      <c r="Y246">
        <v>139.1</v>
      </c>
      <c r="Z246">
        <f t="shared" si="19"/>
        <v>148.83333333333334</v>
      </c>
      <c r="AA246">
        <v>142.80000000000001</v>
      </c>
      <c r="AB246">
        <v>139.80000000000001</v>
      </c>
      <c r="AC246">
        <f t="shared" si="21"/>
        <v>141.30000000000001</v>
      </c>
      <c r="AD246">
        <v>121.7</v>
      </c>
      <c r="AE246">
        <v>136.69999999999999</v>
      </c>
      <c r="AF246">
        <f t="shared" si="22"/>
        <v>129.19999999999999</v>
      </c>
      <c r="AG246">
        <v>151.80000000000001</v>
      </c>
      <c r="AH246">
        <v>136.30000000000001</v>
      </c>
      <c r="AI246">
        <v>147</v>
      </c>
      <c r="AJ246">
        <f t="shared" si="23"/>
        <v>145.03333333333333</v>
      </c>
    </row>
    <row r="247" spans="1:36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f t="shared" si="20"/>
        <v>148.48571428571429</v>
      </c>
      <c r="S247">
        <v>149.9</v>
      </c>
      <c r="T247">
        <v>141</v>
      </c>
      <c r="U247">
        <v>148.6</v>
      </c>
      <c r="V247">
        <f t="shared" si="18"/>
        <v>146.5</v>
      </c>
      <c r="W247">
        <v>175.6</v>
      </c>
      <c r="X247">
        <v>142.30000000000001</v>
      </c>
      <c r="Y247">
        <v>145.30000000000001</v>
      </c>
      <c r="Z247">
        <f t="shared" si="19"/>
        <v>154.4</v>
      </c>
      <c r="AA247">
        <v>149.9</v>
      </c>
      <c r="AB247">
        <v>140.30000000000001</v>
      </c>
      <c r="AC247">
        <f t="shared" si="21"/>
        <v>145.10000000000002</v>
      </c>
      <c r="AD247">
        <v>126.6</v>
      </c>
      <c r="AE247">
        <v>142.1</v>
      </c>
      <c r="AF247">
        <f t="shared" si="22"/>
        <v>134.35</v>
      </c>
      <c r="AG247">
        <v>155.5</v>
      </c>
      <c r="AH247">
        <v>141.30000000000001</v>
      </c>
      <c r="AI247">
        <v>148.6</v>
      </c>
      <c r="AJ247">
        <f t="shared" si="23"/>
        <v>148.46666666666667</v>
      </c>
    </row>
    <row r="248" spans="1:36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f t="shared" si="20"/>
        <v>150.62857142857141</v>
      </c>
      <c r="S248">
        <v>152.6</v>
      </c>
      <c r="T248">
        <v>147.30000000000001</v>
      </c>
      <c r="U248">
        <v>151.9</v>
      </c>
      <c r="V248">
        <f t="shared" si="18"/>
        <v>150.6</v>
      </c>
      <c r="W248">
        <v>175.6</v>
      </c>
      <c r="X248">
        <v>149.9</v>
      </c>
      <c r="Y248">
        <v>151.19999999999999</v>
      </c>
      <c r="Z248">
        <f t="shared" si="19"/>
        <v>158.9</v>
      </c>
      <c r="AA248">
        <v>154.80000000000001</v>
      </c>
      <c r="AB248">
        <v>140.6</v>
      </c>
      <c r="AC248">
        <f t="shared" si="21"/>
        <v>147.69999999999999</v>
      </c>
      <c r="AD248">
        <v>135</v>
      </c>
      <c r="AE248">
        <v>149.5</v>
      </c>
      <c r="AF248">
        <f t="shared" si="22"/>
        <v>142.25</v>
      </c>
      <c r="AG248">
        <v>161.1</v>
      </c>
      <c r="AH248">
        <v>147.1</v>
      </c>
      <c r="AI248">
        <v>152.30000000000001</v>
      </c>
      <c r="AJ248">
        <f t="shared" si="23"/>
        <v>153.5</v>
      </c>
    </row>
    <row r="249" spans="1:36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f t="shared" si="20"/>
        <v>151.93571428571428</v>
      </c>
      <c r="S249">
        <v>146.80000000000001</v>
      </c>
      <c r="T249">
        <v>132.80000000000001</v>
      </c>
      <c r="U249">
        <v>144.6</v>
      </c>
      <c r="V249">
        <f t="shared" si="18"/>
        <v>141.4</v>
      </c>
      <c r="W249" t="s">
        <v>127</v>
      </c>
      <c r="X249">
        <v>133.6</v>
      </c>
      <c r="Y249">
        <v>139.80000000000001</v>
      </c>
      <c r="Z249">
        <f t="shared" si="19"/>
        <v>136.69999999999999</v>
      </c>
      <c r="AA249">
        <v>143.19999999999999</v>
      </c>
      <c r="AB249">
        <v>140.19999999999999</v>
      </c>
      <c r="AC249">
        <f t="shared" si="21"/>
        <v>141.69999999999999</v>
      </c>
      <c r="AD249">
        <v>125.2</v>
      </c>
      <c r="AE249">
        <v>136.80000000000001</v>
      </c>
      <c r="AF249">
        <f t="shared" si="22"/>
        <v>131</v>
      </c>
      <c r="AG249">
        <v>151.9</v>
      </c>
      <c r="AH249">
        <v>137.69999999999999</v>
      </c>
      <c r="AI249">
        <v>148.30000000000001</v>
      </c>
      <c r="AJ249">
        <f t="shared" si="23"/>
        <v>145.96666666666667</v>
      </c>
    </row>
    <row r="250" spans="1:36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f t="shared" si="20"/>
        <v>151.04285714285717</v>
      </c>
      <c r="S250">
        <v>150.30000000000001</v>
      </c>
      <c r="T250">
        <v>141.30000000000001</v>
      </c>
      <c r="U250">
        <v>149</v>
      </c>
      <c r="V250">
        <f t="shared" si="18"/>
        <v>146.86666666666667</v>
      </c>
      <c r="W250" t="s">
        <v>127</v>
      </c>
      <c r="X250">
        <v>143.69999999999999</v>
      </c>
      <c r="Y250">
        <v>145.80000000000001</v>
      </c>
      <c r="Z250">
        <f t="shared" si="19"/>
        <v>144.75</v>
      </c>
      <c r="AA250">
        <v>150.4</v>
      </c>
      <c r="AB250">
        <v>140.4</v>
      </c>
      <c r="AC250">
        <f t="shared" si="21"/>
        <v>145.4</v>
      </c>
      <c r="AD250">
        <v>129.80000000000001</v>
      </c>
      <c r="AE250">
        <v>142.30000000000001</v>
      </c>
      <c r="AF250">
        <f t="shared" si="22"/>
        <v>136.05000000000001</v>
      </c>
      <c r="AG250">
        <v>155.69999999999999</v>
      </c>
      <c r="AH250">
        <v>142.5</v>
      </c>
      <c r="AI250">
        <v>150.4</v>
      </c>
      <c r="AJ250">
        <f t="shared" si="23"/>
        <v>149.53333333333333</v>
      </c>
    </row>
    <row r="251" spans="1:36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f t="shared" si="20"/>
        <v>150.51428571428571</v>
      </c>
      <c r="S251">
        <v>152.80000000000001</v>
      </c>
      <c r="T251">
        <v>147.4</v>
      </c>
      <c r="U251">
        <v>152.1</v>
      </c>
      <c r="V251">
        <f t="shared" si="18"/>
        <v>150.76666666666668</v>
      </c>
      <c r="W251">
        <v>139.2560976</v>
      </c>
      <c r="X251">
        <v>150.4</v>
      </c>
      <c r="Y251">
        <v>151.69999999999999</v>
      </c>
      <c r="Z251">
        <f t="shared" si="19"/>
        <v>147.11869920000001</v>
      </c>
      <c r="AA251">
        <v>155.69999999999999</v>
      </c>
      <c r="AB251">
        <v>142.5</v>
      </c>
      <c r="AC251">
        <f t="shared" si="21"/>
        <v>149.1</v>
      </c>
      <c r="AD251">
        <v>136.30000000000001</v>
      </c>
      <c r="AE251">
        <v>150.1</v>
      </c>
      <c r="AF251">
        <f t="shared" si="22"/>
        <v>143.19999999999999</v>
      </c>
      <c r="AG251">
        <v>161.69999999999999</v>
      </c>
      <c r="AH251">
        <v>148.1</v>
      </c>
      <c r="AI251">
        <v>151.9</v>
      </c>
      <c r="AJ251">
        <f t="shared" si="23"/>
        <v>153.89999999999998</v>
      </c>
    </row>
    <row r="252" spans="1:36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f t="shared" si="20"/>
        <v>151.15714285714284</v>
      </c>
      <c r="S252">
        <v>147</v>
      </c>
      <c r="T252">
        <v>133.19999999999999</v>
      </c>
      <c r="U252">
        <v>144.9</v>
      </c>
      <c r="V252">
        <f t="shared" si="18"/>
        <v>141.70000000000002</v>
      </c>
      <c r="W252" t="s">
        <v>128</v>
      </c>
      <c r="X252">
        <v>135.1</v>
      </c>
      <c r="Y252">
        <v>140.1</v>
      </c>
      <c r="Z252">
        <f t="shared" si="19"/>
        <v>137.6</v>
      </c>
      <c r="AA252">
        <v>143.80000000000001</v>
      </c>
      <c r="AB252">
        <v>142.1</v>
      </c>
      <c r="AC252">
        <f t="shared" si="21"/>
        <v>142.94999999999999</v>
      </c>
      <c r="AD252">
        <v>126.1</v>
      </c>
      <c r="AE252">
        <v>137.19999999999999</v>
      </c>
      <c r="AF252">
        <f t="shared" si="22"/>
        <v>131.64999999999998</v>
      </c>
      <c r="AG252">
        <v>152.1</v>
      </c>
      <c r="AH252">
        <v>138.4</v>
      </c>
      <c r="AI252">
        <v>148.19999999999999</v>
      </c>
      <c r="AJ252">
        <f t="shared" si="23"/>
        <v>146.23333333333332</v>
      </c>
    </row>
    <row r="253" spans="1:36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f t="shared" si="20"/>
        <v>150.68571428571428</v>
      </c>
      <c r="S253">
        <v>150.5</v>
      </c>
      <c r="T253">
        <v>141.5</v>
      </c>
      <c r="U253">
        <v>149.19999999999999</v>
      </c>
      <c r="V253">
        <f t="shared" si="18"/>
        <v>147.06666666666666</v>
      </c>
      <c r="W253" t="s">
        <v>128</v>
      </c>
      <c r="X253">
        <v>144.6</v>
      </c>
      <c r="Y253">
        <v>146.19999999999999</v>
      </c>
      <c r="Z253">
        <f t="shared" si="19"/>
        <v>145.39999999999998</v>
      </c>
      <c r="AA253">
        <v>151.19999999999999</v>
      </c>
      <c r="AB253">
        <v>142.30000000000001</v>
      </c>
      <c r="AC253">
        <f t="shared" si="21"/>
        <v>146.75</v>
      </c>
      <c r="AD253">
        <v>130.9</v>
      </c>
      <c r="AE253">
        <v>142.80000000000001</v>
      </c>
      <c r="AF253">
        <f t="shared" si="22"/>
        <v>136.85000000000002</v>
      </c>
      <c r="AG253">
        <v>156.1</v>
      </c>
      <c r="AH253">
        <v>143.4</v>
      </c>
      <c r="AI253">
        <v>150.19999999999999</v>
      </c>
      <c r="AJ253">
        <f t="shared" si="23"/>
        <v>149.9</v>
      </c>
    </row>
    <row r="254" spans="1:36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f t="shared" si="20"/>
        <v>148.51428571428571</v>
      </c>
      <c r="S254">
        <v>153</v>
      </c>
      <c r="T254">
        <v>147.5</v>
      </c>
      <c r="U254">
        <v>152.30000000000001</v>
      </c>
      <c r="V254">
        <f t="shared" si="18"/>
        <v>150.93333333333334</v>
      </c>
      <c r="W254">
        <v>139.2560976</v>
      </c>
      <c r="X254">
        <v>152.30000000000001</v>
      </c>
      <c r="Y254">
        <v>151.80000000000001</v>
      </c>
      <c r="Z254">
        <f t="shared" si="19"/>
        <v>147.78536586666669</v>
      </c>
      <c r="AA254">
        <v>156.19999999999999</v>
      </c>
      <c r="AB254">
        <v>143.4</v>
      </c>
      <c r="AC254">
        <f t="shared" si="21"/>
        <v>149.80000000000001</v>
      </c>
      <c r="AD254">
        <v>136</v>
      </c>
      <c r="AE254">
        <v>150.4</v>
      </c>
      <c r="AF254">
        <f t="shared" si="22"/>
        <v>143.19999999999999</v>
      </c>
      <c r="AG254">
        <v>161.9</v>
      </c>
      <c r="AH254">
        <v>148.4</v>
      </c>
      <c r="AI254">
        <v>150.4</v>
      </c>
      <c r="AJ254">
        <f t="shared" si="23"/>
        <v>153.56666666666669</v>
      </c>
    </row>
    <row r="255" spans="1:36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f t="shared" si="20"/>
        <v>149.18571428571428</v>
      </c>
      <c r="S255">
        <v>147.30000000000001</v>
      </c>
      <c r="T255">
        <v>133.5</v>
      </c>
      <c r="U255">
        <v>145.19999999999999</v>
      </c>
      <c r="V255">
        <f t="shared" si="18"/>
        <v>142</v>
      </c>
      <c r="W255" t="s">
        <v>129</v>
      </c>
      <c r="X255">
        <v>138.9</v>
      </c>
      <c r="Y255">
        <v>140.4</v>
      </c>
      <c r="Z255">
        <f t="shared" si="19"/>
        <v>139.65</v>
      </c>
      <c r="AA255">
        <v>144.4</v>
      </c>
      <c r="AB255">
        <v>143.5</v>
      </c>
      <c r="AC255">
        <f t="shared" si="21"/>
        <v>143.94999999999999</v>
      </c>
      <c r="AD255">
        <v>125.2</v>
      </c>
      <c r="AE255">
        <v>137.69999999999999</v>
      </c>
      <c r="AF255">
        <f t="shared" si="22"/>
        <v>131.44999999999999</v>
      </c>
      <c r="AG255">
        <v>152.19999999999999</v>
      </c>
      <c r="AH255">
        <v>138.4</v>
      </c>
      <c r="AI255">
        <v>147.69999999999999</v>
      </c>
      <c r="AJ255">
        <f t="shared" si="23"/>
        <v>146.1</v>
      </c>
    </row>
    <row r="256" spans="1:36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f t="shared" si="20"/>
        <v>148.69285714285712</v>
      </c>
      <c r="S256">
        <v>150.80000000000001</v>
      </c>
      <c r="T256">
        <v>141.69999999999999</v>
      </c>
      <c r="U256">
        <v>149.5</v>
      </c>
      <c r="V256">
        <f t="shared" si="18"/>
        <v>147.33333333333334</v>
      </c>
      <c r="W256" t="s">
        <v>129</v>
      </c>
      <c r="X256">
        <v>147.19999999999999</v>
      </c>
      <c r="Y256">
        <v>146.4</v>
      </c>
      <c r="Z256">
        <f t="shared" si="19"/>
        <v>146.80000000000001</v>
      </c>
      <c r="AA256">
        <v>151.69999999999999</v>
      </c>
      <c r="AB256">
        <v>143.4</v>
      </c>
      <c r="AC256">
        <f t="shared" si="21"/>
        <v>147.55000000000001</v>
      </c>
      <c r="AD256">
        <v>130.30000000000001</v>
      </c>
      <c r="AE256">
        <v>143.19999999999999</v>
      </c>
      <c r="AF256">
        <f t="shared" si="22"/>
        <v>136.75</v>
      </c>
      <c r="AG256">
        <v>156.19999999999999</v>
      </c>
      <c r="AH256">
        <v>143.6</v>
      </c>
      <c r="AI256">
        <v>149.1</v>
      </c>
      <c r="AJ256">
        <f t="shared" si="23"/>
        <v>149.63333333333333</v>
      </c>
    </row>
    <row r="257" spans="1:36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f t="shared" si="20"/>
        <v>147.50714285714281</v>
      </c>
      <c r="S257">
        <v>153.4</v>
      </c>
      <c r="T257">
        <v>147.6</v>
      </c>
      <c r="U257">
        <v>152.5</v>
      </c>
      <c r="V257">
        <f t="shared" si="18"/>
        <v>151.16666666666666</v>
      </c>
      <c r="W257">
        <v>139.2560976</v>
      </c>
      <c r="X257">
        <v>153.4</v>
      </c>
      <c r="Y257">
        <v>151.5</v>
      </c>
      <c r="Z257">
        <f t="shared" si="19"/>
        <v>148.05203253333335</v>
      </c>
      <c r="AA257">
        <v>156.69999999999999</v>
      </c>
      <c r="AB257">
        <v>145.1</v>
      </c>
      <c r="AC257">
        <f t="shared" si="21"/>
        <v>150.89999999999998</v>
      </c>
      <c r="AD257">
        <v>135.80000000000001</v>
      </c>
      <c r="AE257">
        <v>151.19999999999999</v>
      </c>
      <c r="AF257">
        <f t="shared" si="22"/>
        <v>143.5</v>
      </c>
      <c r="AG257">
        <v>161.19999999999999</v>
      </c>
      <c r="AH257">
        <v>148.6</v>
      </c>
      <c r="AI257">
        <v>149.80000000000001</v>
      </c>
      <c r="AJ257">
        <f t="shared" si="23"/>
        <v>153.19999999999999</v>
      </c>
    </row>
    <row r="258" spans="1:36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f t="shared" si="20"/>
        <v>147.98571428571429</v>
      </c>
      <c r="S258">
        <v>147.69999999999999</v>
      </c>
      <c r="T258">
        <v>133.80000000000001</v>
      </c>
      <c r="U258">
        <v>145.6</v>
      </c>
      <c r="V258">
        <f t="shared" ref="V258:V321" si="24">AVERAGE(S258:U258)</f>
        <v>142.36666666666667</v>
      </c>
      <c r="W258" t="s">
        <v>130</v>
      </c>
      <c r="X258">
        <v>141.4</v>
      </c>
      <c r="Y258">
        <v>140.80000000000001</v>
      </c>
      <c r="Z258">
        <f t="shared" ref="Z258:Z321" si="25">AVERAGE(W258:Y258)</f>
        <v>141.10000000000002</v>
      </c>
      <c r="AA258">
        <v>145</v>
      </c>
      <c r="AB258">
        <v>145.30000000000001</v>
      </c>
      <c r="AC258">
        <f t="shared" si="21"/>
        <v>145.15</v>
      </c>
      <c r="AD258">
        <v>124.6</v>
      </c>
      <c r="AE258">
        <v>137.9</v>
      </c>
      <c r="AF258">
        <f t="shared" si="22"/>
        <v>131.25</v>
      </c>
      <c r="AG258">
        <v>152.5</v>
      </c>
      <c r="AH258">
        <v>138.69999999999999</v>
      </c>
      <c r="AI258">
        <v>147.30000000000001</v>
      </c>
      <c r="AJ258">
        <f t="shared" si="23"/>
        <v>146.16666666666666</v>
      </c>
    </row>
    <row r="259" spans="1:36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f t="shared" ref="R259:R322" si="26">AVERAGE(D259:Q259)</f>
        <v>147.6142857142857</v>
      </c>
      <c r="S259">
        <v>151.19999999999999</v>
      </c>
      <c r="T259">
        <v>141.9</v>
      </c>
      <c r="U259">
        <v>149.80000000000001</v>
      </c>
      <c r="V259">
        <f t="shared" si="24"/>
        <v>147.63333333333335</v>
      </c>
      <c r="W259" t="s">
        <v>130</v>
      </c>
      <c r="X259">
        <v>148.9</v>
      </c>
      <c r="Y259">
        <v>146.4</v>
      </c>
      <c r="Z259">
        <f t="shared" si="25"/>
        <v>147.65</v>
      </c>
      <c r="AA259">
        <v>152.30000000000001</v>
      </c>
      <c r="AB259">
        <v>145.19999999999999</v>
      </c>
      <c r="AC259">
        <f t="shared" ref="AC259:AC322" si="27">AVERAGE(AA259:AB259)</f>
        <v>148.75</v>
      </c>
      <c r="AD259">
        <v>129.9</v>
      </c>
      <c r="AE259">
        <v>143.69999999999999</v>
      </c>
      <c r="AF259">
        <f t="shared" ref="AF259:AF322" si="28">AVERAGE(AD259:AE259)</f>
        <v>136.80000000000001</v>
      </c>
      <c r="AG259">
        <v>156.1</v>
      </c>
      <c r="AH259">
        <v>143.80000000000001</v>
      </c>
      <c r="AI259">
        <v>148.6</v>
      </c>
      <c r="AJ259">
        <f t="shared" ref="AJ259:AJ322" si="29">AVERAGE(AG259:AI259)</f>
        <v>149.5</v>
      </c>
    </row>
    <row r="260" spans="1:36">
      <c r="A260" t="s">
        <v>30</v>
      </c>
      <c r="B260">
        <v>2020</v>
      </c>
      <c r="C260" t="s">
        <v>37</v>
      </c>
      <c r="D260">
        <v>147.19999999999999</v>
      </c>
      <c r="E260">
        <v>156.26475409836061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149.08715846994548</v>
      </c>
      <c r="P260">
        <v>150.1</v>
      </c>
      <c r="Q260">
        <v>155.38579234972681</v>
      </c>
      <c r="R260">
        <f t="shared" si="26"/>
        <v>148.25269320843091</v>
      </c>
      <c r="S260">
        <v>142.66366120218566</v>
      </c>
      <c r="T260">
        <v>135.97732240437156</v>
      </c>
      <c r="U260">
        <v>141.67431693989073</v>
      </c>
      <c r="V260">
        <f t="shared" si="24"/>
        <v>140.10510018214933</v>
      </c>
      <c r="W260">
        <v>139.2560976</v>
      </c>
      <c r="X260">
        <v>148.4</v>
      </c>
      <c r="Y260">
        <v>136.68688524590166</v>
      </c>
      <c r="Z260">
        <f t="shared" si="25"/>
        <v>141.44766094863391</v>
      </c>
      <c r="AA260">
        <v>154.30000000000001</v>
      </c>
      <c r="AB260">
        <v>133.35</v>
      </c>
      <c r="AC260">
        <f t="shared" si="27"/>
        <v>143.82499999999999</v>
      </c>
      <c r="AD260">
        <v>127.17049180327859</v>
      </c>
      <c r="AE260">
        <v>133.89180327868851</v>
      </c>
      <c r="AF260">
        <f t="shared" si="28"/>
        <v>130.53114754098357</v>
      </c>
      <c r="AG260">
        <v>141.13114754098362</v>
      </c>
      <c r="AH260">
        <v>134.23579234972684</v>
      </c>
      <c r="AI260">
        <v>139.56448087431698</v>
      </c>
      <c r="AJ260">
        <f t="shared" si="29"/>
        <v>138.31047358834249</v>
      </c>
    </row>
    <row r="261" spans="1:36">
      <c r="A261" t="s">
        <v>33</v>
      </c>
      <c r="B261">
        <v>2020</v>
      </c>
      <c r="C261" t="s">
        <v>37</v>
      </c>
      <c r="D261">
        <v>151.80000000000001</v>
      </c>
      <c r="E261">
        <v>156.26475409836061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149.08715846994548</v>
      </c>
      <c r="P261">
        <v>153.5</v>
      </c>
      <c r="Q261">
        <v>155.38579234972681</v>
      </c>
      <c r="R261">
        <f t="shared" si="26"/>
        <v>149.81697892271663</v>
      </c>
      <c r="S261">
        <v>142.66366120218566</v>
      </c>
      <c r="T261">
        <v>135.97732240437156</v>
      </c>
      <c r="U261">
        <v>141.67431693989073</v>
      </c>
      <c r="V261">
        <f t="shared" si="24"/>
        <v>140.10510018214933</v>
      </c>
      <c r="W261" t="s">
        <v>131</v>
      </c>
      <c r="X261">
        <v>137.1</v>
      </c>
      <c r="Y261">
        <v>136.68688524590166</v>
      </c>
      <c r="Z261">
        <f t="shared" si="25"/>
        <v>136.89344262295083</v>
      </c>
      <c r="AA261">
        <v>144.80000000000001</v>
      </c>
      <c r="AB261">
        <v>133.35</v>
      </c>
      <c r="AC261">
        <f t="shared" si="27"/>
        <v>139.07499999999999</v>
      </c>
      <c r="AD261">
        <v>127.17049180327859</v>
      </c>
      <c r="AE261">
        <v>133.89180327868851</v>
      </c>
      <c r="AF261">
        <f t="shared" si="28"/>
        <v>130.53114754098357</v>
      </c>
      <c r="AG261">
        <v>141.13114754098362</v>
      </c>
      <c r="AH261">
        <v>134.23579234972684</v>
      </c>
      <c r="AI261">
        <v>139.56448087431698</v>
      </c>
      <c r="AJ261">
        <f t="shared" si="29"/>
        <v>138.31047358834249</v>
      </c>
    </row>
    <row r="262" spans="1:36">
      <c r="A262" t="s">
        <v>34</v>
      </c>
      <c r="B262">
        <v>2020</v>
      </c>
      <c r="C262" t="s">
        <v>37</v>
      </c>
      <c r="D262">
        <v>148.69999999999999</v>
      </c>
      <c r="E262">
        <v>156.26475409836061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149.08715846994548</v>
      </c>
      <c r="P262">
        <v>151.4</v>
      </c>
      <c r="Q262">
        <v>155.38579234972681</v>
      </c>
      <c r="R262">
        <f t="shared" si="26"/>
        <v>148.81697892271663</v>
      </c>
      <c r="S262">
        <v>142.66366120218566</v>
      </c>
      <c r="T262">
        <v>135.97732240437156</v>
      </c>
      <c r="U262">
        <v>141.67431693989073</v>
      </c>
      <c r="V262">
        <f t="shared" si="24"/>
        <v>140.10510018214933</v>
      </c>
      <c r="W262" t="s">
        <v>131</v>
      </c>
      <c r="X262">
        <v>144.1</v>
      </c>
      <c r="Y262">
        <v>136.68688524590166</v>
      </c>
      <c r="Z262">
        <f t="shared" si="25"/>
        <v>140.39344262295083</v>
      </c>
      <c r="AA262">
        <v>150.69999999999999</v>
      </c>
      <c r="AB262">
        <v>133.35</v>
      </c>
      <c r="AC262">
        <f t="shared" si="27"/>
        <v>142.02499999999998</v>
      </c>
      <c r="AD262">
        <v>127.17049180327859</v>
      </c>
      <c r="AE262">
        <v>133.89180327868851</v>
      </c>
      <c r="AF262">
        <f t="shared" si="28"/>
        <v>130.53114754098357</v>
      </c>
      <c r="AG262">
        <v>141.13114754098362</v>
      </c>
      <c r="AH262">
        <v>134.23579234972684</v>
      </c>
      <c r="AI262">
        <v>139.56448087431698</v>
      </c>
      <c r="AJ262">
        <f t="shared" si="29"/>
        <v>138.31047358834249</v>
      </c>
    </row>
    <row r="263" spans="1:36">
      <c r="A263" t="s">
        <v>30</v>
      </c>
      <c r="B263">
        <v>2020</v>
      </c>
      <c r="C263" t="s">
        <v>38</v>
      </c>
      <c r="D263">
        <v>136.68590785907901</v>
      </c>
      <c r="E263">
        <v>156.26475409836061</v>
      </c>
      <c r="F263">
        <v>140.79756097560974</v>
      </c>
      <c r="G263">
        <v>140.32520325203262</v>
      </c>
      <c r="H263">
        <v>132.12628726287261</v>
      </c>
      <c r="I263">
        <v>140.84092140921399</v>
      </c>
      <c r="J263">
        <v>155.75203252032517</v>
      </c>
      <c r="K263">
        <v>141.43089430894312</v>
      </c>
      <c r="L263">
        <v>110.9249322493224</v>
      </c>
      <c r="M263">
        <v>144.5222222222223</v>
      </c>
      <c r="N263">
        <v>134.09295392953925</v>
      </c>
      <c r="O263">
        <v>149.08715846994548</v>
      </c>
      <c r="P263">
        <v>142.51002710027106</v>
      </c>
      <c r="Q263">
        <v>155.38579234972681</v>
      </c>
      <c r="R263">
        <f t="shared" si="26"/>
        <v>141.48190342910462</v>
      </c>
      <c r="S263">
        <v>142.66366120218566</v>
      </c>
      <c r="T263">
        <v>135.97732240437156</v>
      </c>
      <c r="U263">
        <v>141.67431693989073</v>
      </c>
      <c r="V263">
        <f t="shared" si="24"/>
        <v>140.10510018214933</v>
      </c>
      <c r="W263">
        <v>139.2560976</v>
      </c>
      <c r="X263">
        <v>139.2560976</v>
      </c>
      <c r="Y263">
        <v>136.68688524590166</v>
      </c>
      <c r="Z263">
        <f t="shared" si="25"/>
        <v>138.39969348196723</v>
      </c>
      <c r="AA263">
        <v>138.51680216802174</v>
      </c>
      <c r="AB263">
        <v>133.35</v>
      </c>
      <c r="AC263">
        <f t="shared" si="27"/>
        <v>135.93340108401088</v>
      </c>
      <c r="AD263">
        <v>127.17049180327859</v>
      </c>
      <c r="AE263">
        <v>133.89180327868851</v>
      </c>
      <c r="AF263">
        <f t="shared" si="28"/>
        <v>130.53114754098357</v>
      </c>
      <c r="AG263">
        <v>141.13114754098362</v>
      </c>
      <c r="AH263">
        <v>134.23579234972684</v>
      </c>
      <c r="AI263">
        <v>139.56448087431698</v>
      </c>
      <c r="AJ263">
        <f t="shared" si="29"/>
        <v>138.31047358834249</v>
      </c>
    </row>
    <row r="264" spans="1:36">
      <c r="A264" t="s">
        <v>33</v>
      </c>
      <c r="B264">
        <v>2020</v>
      </c>
      <c r="C264" t="s">
        <v>38</v>
      </c>
      <c r="D264">
        <v>136.68590785907853</v>
      </c>
      <c r="E264">
        <v>156.26475409836061</v>
      </c>
      <c r="F264">
        <v>140.79756097560974</v>
      </c>
      <c r="G264">
        <v>140.32520325203262</v>
      </c>
      <c r="H264">
        <v>132.12628726287261</v>
      </c>
      <c r="I264">
        <v>140.84092140921399</v>
      </c>
      <c r="J264">
        <v>155.75203252032517</v>
      </c>
      <c r="K264">
        <v>141.43089430894312</v>
      </c>
      <c r="L264">
        <v>110.9249322493224</v>
      </c>
      <c r="M264">
        <v>144.5222222222223</v>
      </c>
      <c r="N264">
        <v>134.09295392953925</v>
      </c>
      <c r="O264">
        <v>149.08715846994548</v>
      </c>
      <c r="P264">
        <v>142.51002710027106</v>
      </c>
      <c r="Q264">
        <v>155.38579234972681</v>
      </c>
      <c r="R264">
        <f t="shared" si="26"/>
        <v>141.48190342910456</v>
      </c>
      <c r="S264">
        <v>142.66366120218566</v>
      </c>
      <c r="T264">
        <v>135.97732240437156</v>
      </c>
      <c r="U264">
        <v>141.67431693989073</v>
      </c>
      <c r="V264">
        <f t="shared" si="24"/>
        <v>140.10510018214933</v>
      </c>
      <c r="W264">
        <v>139.2560976</v>
      </c>
      <c r="X264">
        <v>139.2560976</v>
      </c>
      <c r="Y264">
        <v>136.68688524590166</v>
      </c>
      <c r="Z264">
        <f t="shared" si="25"/>
        <v>138.39969348196723</v>
      </c>
      <c r="AA264">
        <v>138.51680216802174</v>
      </c>
      <c r="AB264">
        <v>133.35</v>
      </c>
      <c r="AC264">
        <f t="shared" si="27"/>
        <v>135.93340108401088</v>
      </c>
      <c r="AD264">
        <v>127.17049180327859</v>
      </c>
      <c r="AE264">
        <v>133.89180327868851</v>
      </c>
      <c r="AF264">
        <f t="shared" si="28"/>
        <v>130.53114754098357</v>
      </c>
      <c r="AG264">
        <v>141.13114754098362</v>
      </c>
      <c r="AH264">
        <v>134.23579234972684</v>
      </c>
      <c r="AI264">
        <v>139.56448087431698</v>
      </c>
      <c r="AJ264">
        <f t="shared" si="29"/>
        <v>138.31047358834249</v>
      </c>
    </row>
    <row r="265" spans="1:36">
      <c r="A265" t="s">
        <v>34</v>
      </c>
      <c r="B265">
        <v>2020</v>
      </c>
      <c r="C265" t="s">
        <v>38</v>
      </c>
      <c r="D265">
        <v>136.68590785907853</v>
      </c>
      <c r="E265">
        <v>156.26475409836061</v>
      </c>
      <c r="F265">
        <v>140.79756097560974</v>
      </c>
      <c r="G265">
        <v>140.32520325203262</v>
      </c>
      <c r="H265">
        <v>132.12628726287261</v>
      </c>
      <c r="I265">
        <v>140.84092140921399</v>
      </c>
      <c r="J265">
        <v>155.75203252032517</v>
      </c>
      <c r="K265">
        <v>141.43089430894312</v>
      </c>
      <c r="L265">
        <v>110.9249322493224</v>
      </c>
      <c r="M265">
        <v>144.5222222222223</v>
      </c>
      <c r="N265">
        <v>134.09295392953925</v>
      </c>
      <c r="O265">
        <v>149.08715846994548</v>
      </c>
      <c r="P265">
        <v>142.51002710027106</v>
      </c>
      <c r="Q265">
        <v>155.38579234972681</v>
      </c>
      <c r="R265">
        <f t="shared" si="26"/>
        <v>141.48190342910456</v>
      </c>
      <c r="S265">
        <v>142.66366120218566</v>
      </c>
      <c r="T265">
        <v>135.97732240437156</v>
      </c>
      <c r="U265">
        <v>141.67431693989073</v>
      </c>
      <c r="V265">
        <f t="shared" si="24"/>
        <v>140.10510018214933</v>
      </c>
      <c r="W265">
        <v>139.2560976</v>
      </c>
      <c r="X265">
        <v>139.2560976</v>
      </c>
      <c r="Y265">
        <v>136.68688524590166</v>
      </c>
      <c r="Z265">
        <f t="shared" si="25"/>
        <v>138.39969348196723</v>
      </c>
      <c r="AA265">
        <v>138.51680216802174</v>
      </c>
      <c r="AB265">
        <v>133.35</v>
      </c>
      <c r="AC265">
        <f t="shared" si="27"/>
        <v>135.93340108401088</v>
      </c>
      <c r="AD265">
        <v>127.17049180327859</v>
      </c>
      <c r="AE265">
        <v>133.89180327868851</v>
      </c>
      <c r="AF265">
        <f t="shared" si="28"/>
        <v>130.53114754098357</v>
      </c>
      <c r="AG265">
        <v>141.13114754098362</v>
      </c>
      <c r="AH265">
        <v>134.23579234972684</v>
      </c>
      <c r="AI265">
        <v>139.56448087431698</v>
      </c>
      <c r="AJ265">
        <f t="shared" si="29"/>
        <v>138.31047358834249</v>
      </c>
    </row>
    <row r="266" spans="1:36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f t="shared" si="26"/>
        <v>152.3857142857143</v>
      </c>
      <c r="S266">
        <v>154.69999999999999</v>
      </c>
      <c r="T266">
        <v>150</v>
      </c>
      <c r="U266">
        <v>154.1</v>
      </c>
      <c r="V266">
        <f t="shared" si="24"/>
        <v>152.93333333333331</v>
      </c>
      <c r="W266">
        <v>139.2560976</v>
      </c>
      <c r="X266">
        <v>144.9</v>
      </c>
      <c r="Y266">
        <v>151.69999999999999</v>
      </c>
      <c r="Z266">
        <f t="shared" si="25"/>
        <v>145.28536586666667</v>
      </c>
      <c r="AA266">
        <v>158.19999999999999</v>
      </c>
      <c r="AB266">
        <v>151.19999999999999</v>
      </c>
      <c r="AC266">
        <f t="shared" si="27"/>
        <v>154.69999999999999</v>
      </c>
      <c r="AD266">
        <v>141.4</v>
      </c>
      <c r="AE266">
        <v>153.19999999999999</v>
      </c>
      <c r="AF266">
        <f t="shared" si="28"/>
        <v>147.30000000000001</v>
      </c>
      <c r="AG266">
        <v>161.80000000000001</v>
      </c>
      <c r="AH266">
        <v>151.69999999999999</v>
      </c>
      <c r="AI266">
        <v>152.69999999999999</v>
      </c>
      <c r="AJ266">
        <f t="shared" si="29"/>
        <v>155.4</v>
      </c>
    </row>
    <row r="267" spans="1:36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f t="shared" si="26"/>
        <v>155.83571428571426</v>
      </c>
      <c r="S267">
        <v>149.1</v>
      </c>
      <c r="T267">
        <v>136.6</v>
      </c>
      <c r="U267">
        <v>147.19999999999999</v>
      </c>
      <c r="V267">
        <f t="shared" si="24"/>
        <v>144.29999999999998</v>
      </c>
      <c r="W267" t="s">
        <v>132</v>
      </c>
      <c r="X267">
        <v>137.1</v>
      </c>
      <c r="Y267">
        <v>140.4</v>
      </c>
      <c r="Z267">
        <f t="shared" si="25"/>
        <v>138.75</v>
      </c>
      <c r="AA267">
        <v>148.1</v>
      </c>
      <c r="AB267">
        <v>152.19999999999999</v>
      </c>
      <c r="AC267">
        <f t="shared" si="27"/>
        <v>150.14999999999998</v>
      </c>
      <c r="AD267">
        <v>129.30000000000001</v>
      </c>
      <c r="AE267">
        <v>144.5</v>
      </c>
      <c r="AF267">
        <f t="shared" si="28"/>
        <v>136.9</v>
      </c>
      <c r="AG267">
        <v>152.5</v>
      </c>
      <c r="AH267">
        <v>142</v>
      </c>
      <c r="AI267">
        <v>150.80000000000001</v>
      </c>
      <c r="AJ267">
        <f t="shared" si="29"/>
        <v>148.43333333333334</v>
      </c>
    </row>
    <row r="268" spans="1:36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f t="shared" si="26"/>
        <v>153.59285714285716</v>
      </c>
      <c r="S268">
        <v>152.5</v>
      </c>
      <c r="T268">
        <v>144.4</v>
      </c>
      <c r="U268">
        <v>151.4</v>
      </c>
      <c r="V268">
        <f t="shared" si="24"/>
        <v>149.43333333333331</v>
      </c>
      <c r="W268" t="s">
        <v>132</v>
      </c>
      <c r="X268">
        <v>141.9</v>
      </c>
      <c r="Y268">
        <v>146.4</v>
      </c>
      <c r="Z268">
        <f t="shared" si="25"/>
        <v>144.15</v>
      </c>
      <c r="AA268">
        <v>154.4</v>
      </c>
      <c r="AB268">
        <v>151.6</v>
      </c>
      <c r="AC268">
        <f t="shared" si="27"/>
        <v>153</v>
      </c>
      <c r="AD268">
        <v>135</v>
      </c>
      <c r="AE268">
        <v>148.30000000000001</v>
      </c>
      <c r="AF268">
        <f t="shared" si="28"/>
        <v>141.65</v>
      </c>
      <c r="AG268">
        <v>156.4</v>
      </c>
      <c r="AH268">
        <v>147</v>
      </c>
      <c r="AI268">
        <v>151.80000000000001</v>
      </c>
      <c r="AJ268">
        <f t="shared" si="29"/>
        <v>151.73333333333332</v>
      </c>
    </row>
    <row r="269" spans="1:36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f t="shared" si="26"/>
        <v>152.3857142857143</v>
      </c>
      <c r="S269">
        <v>154.69999999999999</v>
      </c>
      <c r="T269">
        <v>150</v>
      </c>
      <c r="U269">
        <v>154.1</v>
      </c>
      <c r="V269">
        <f t="shared" si="24"/>
        <v>152.93333333333331</v>
      </c>
      <c r="W269">
        <v>139.2560976</v>
      </c>
      <c r="X269">
        <v>144.9</v>
      </c>
      <c r="Y269">
        <v>151.69999999999999</v>
      </c>
      <c r="Z269">
        <f t="shared" si="25"/>
        <v>145.28536586666667</v>
      </c>
      <c r="AA269">
        <v>158.19999999999999</v>
      </c>
      <c r="AB269">
        <v>151.19999999999999</v>
      </c>
      <c r="AC269">
        <f t="shared" si="27"/>
        <v>154.69999999999999</v>
      </c>
      <c r="AD269">
        <v>141.4</v>
      </c>
      <c r="AE269">
        <v>153.19999999999999</v>
      </c>
      <c r="AF269">
        <f t="shared" si="28"/>
        <v>147.30000000000001</v>
      </c>
      <c r="AG269">
        <v>161.80000000000001</v>
      </c>
      <c r="AH269">
        <v>151.69999999999999</v>
      </c>
      <c r="AI269">
        <v>152.69999999999999</v>
      </c>
      <c r="AJ269">
        <f t="shared" si="29"/>
        <v>155.4</v>
      </c>
    </row>
    <row r="270" spans="1:36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f t="shared" si="26"/>
        <v>155.83571428571426</v>
      </c>
      <c r="S270">
        <v>149.1</v>
      </c>
      <c r="T270">
        <v>136.6</v>
      </c>
      <c r="U270">
        <v>147.19999999999999</v>
      </c>
      <c r="V270">
        <f t="shared" si="24"/>
        <v>144.29999999999998</v>
      </c>
      <c r="W270" t="s">
        <v>132</v>
      </c>
      <c r="X270">
        <v>137.1</v>
      </c>
      <c r="Y270">
        <v>140.4</v>
      </c>
      <c r="Z270">
        <f t="shared" si="25"/>
        <v>138.75</v>
      </c>
      <c r="AA270">
        <v>148.1</v>
      </c>
      <c r="AB270">
        <v>152.19999999999999</v>
      </c>
      <c r="AC270">
        <f t="shared" si="27"/>
        <v>150.14999999999998</v>
      </c>
      <c r="AD270">
        <v>129.30000000000001</v>
      </c>
      <c r="AE270">
        <v>144.5</v>
      </c>
      <c r="AF270">
        <f t="shared" si="28"/>
        <v>136.9</v>
      </c>
      <c r="AG270">
        <v>152.5</v>
      </c>
      <c r="AH270">
        <v>142</v>
      </c>
      <c r="AI270">
        <v>150.80000000000001</v>
      </c>
      <c r="AJ270">
        <f t="shared" si="29"/>
        <v>148.43333333333334</v>
      </c>
    </row>
    <row r="271" spans="1:36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f t="shared" si="26"/>
        <v>153.59285714285716</v>
      </c>
      <c r="S271">
        <v>152.5</v>
      </c>
      <c r="T271">
        <v>144.4</v>
      </c>
      <c r="U271">
        <v>151.4</v>
      </c>
      <c r="V271">
        <f t="shared" si="24"/>
        <v>149.43333333333331</v>
      </c>
      <c r="W271" t="s">
        <v>132</v>
      </c>
      <c r="X271">
        <v>141.9</v>
      </c>
      <c r="Y271">
        <v>146.4</v>
      </c>
      <c r="Z271">
        <f t="shared" si="25"/>
        <v>144.15</v>
      </c>
      <c r="AA271">
        <v>154.4</v>
      </c>
      <c r="AB271">
        <v>151.6</v>
      </c>
      <c r="AC271">
        <f t="shared" si="27"/>
        <v>153</v>
      </c>
      <c r="AD271">
        <v>135</v>
      </c>
      <c r="AE271">
        <v>148.30000000000001</v>
      </c>
      <c r="AF271">
        <f t="shared" si="28"/>
        <v>141.65</v>
      </c>
      <c r="AG271">
        <v>156.4</v>
      </c>
      <c r="AH271">
        <v>147</v>
      </c>
      <c r="AI271">
        <v>151.80000000000001</v>
      </c>
      <c r="AJ271">
        <f t="shared" si="29"/>
        <v>151.73333333333332</v>
      </c>
    </row>
    <row r="272" spans="1:36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f t="shared" si="26"/>
        <v>154.25</v>
      </c>
      <c r="S272">
        <v>155.1</v>
      </c>
      <c r="T272">
        <v>149.30000000000001</v>
      </c>
      <c r="U272">
        <v>154.30000000000001</v>
      </c>
      <c r="V272">
        <f t="shared" si="24"/>
        <v>152.9</v>
      </c>
      <c r="W272">
        <v>139.2560976</v>
      </c>
      <c r="X272">
        <v>145.80000000000001</v>
      </c>
      <c r="Y272">
        <v>151.9</v>
      </c>
      <c r="Z272">
        <f t="shared" si="25"/>
        <v>145.65203253333334</v>
      </c>
      <c r="AA272">
        <v>158.80000000000001</v>
      </c>
      <c r="AB272">
        <v>153.6</v>
      </c>
      <c r="AC272">
        <f t="shared" si="27"/>
        <v>156.19999999999999</v>
      </c>
      <c r="AD272">
        <v>143.6</v>
      </c>
      <c r="AE272">
        <v>152.19999999999999</v>
      </c>
      <c r="AF272">
        <f t="shared" si="28"/>
        <v>147.89999999999998</v>
      </c>
      <c r="AG272">
        <v>162.69999999999999</v>
      </c>
      <c r="AH272">
        <v>153</v>
      </c>
      <c r="AI272">
        <v>154.69999999999999</v>
      </c>
      <c r="AJ272">
        <f t="shared" si="29"/>
        <v>156.79999999999998</v>
      </c>
    </row>
    <row r="273" spans="1:36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f t="shared" si="26"/>
        <v>158.00714285714284</v>
      </c>
      <c r="S273">
        <v>150</v>
      </c>
      <c r="T273">
        <v>135.19999999999999</v>
      </c>
      <c r="U273">
        <v>147.80000000000001</v>
      </c>
      <c r="V273">
        <f t="shared" si="24"/>
        <v>144.33333333333334</v>
      </c>
      <c r="W273" t="s">
        <v>133</v>
      </c>
      <c r="X273">
        <v>138.30000000000001</v>
      </c>
      <c r="Y273">
        <v>144.5</v>
      </c>
      <c r="Z273">
        <f t="shared" si="25"/>
        <v>141.4</v>
      </c>
      <c r="AA273">
        <v>148.69999999999999</v>
      </c>
      <c r="AB273">
        <v>155.19999999999999</v>
      </c>
      <c r="AC273">
        <f t="shared" si="27"/>
        <v>151.94999999999999</v>
      </c>
      <c r="AD273">
        <v>133.9</v>
      </c>
      <c r="AE273">
        <v>141.19999999999999</v>
      </c>
      <c r="AF273">
        <f t="shared" si="28"/>
        <v>137.55000000000001</v>
      </c>
      <c r="AG273">
        <v>155.5</v>
      </c>
      <c r="AH273">
        <v>144.80000000000001</v>
      </c>
      <c r="AI273">
        <v>152.9</v>
      </c>
      <c r="AJ273">
        <f t="shared" si="29"/>
        <v>151.06666666666669</v>
      </c>
    </row>
    <row r="274" spans="1:36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f t="shared" si="26"/>
        <v>155.55714285714285</v>
      </c>
      <c r="S274">
        <v>153.1</v>
      </c>
      <c r="T274">
        <v>143.4</v>
      </c>
      <c r="U274">
        <v>151.69999999999999</v>
      </c>
      <c r="V274">
        <f t="shared" si="24"/>
        <v>149.4</v>
      </c>
      <c r="W274" t="s">
        <v>133</v>
      </c>
      <c r="X274">
        <v>143</v>
      </c>
      <c r="Y274">
        <v>148.4</v>
      </c>
      <c r="Z274">
        <f t="shared" si="25"/>
        <v>145.69999999999999</v>
      </c>
      <c r="AA274">
        <v>155</v>
      </c>
      <c r="AB274">
        <v>154.30000000000001</v>
      </c>
      <c r="AC274">
        <f t="shared" si="27"/>
        <v>154.65</v>
      </c>
      <c r="AD274">
        <v>138.5</v>
      </c>
      <c r="AE274">
        <v>146</v>
      </c>
      <c r="AF274">
        <f t="shared" si="28"/>
        <v>142.25</v>
      </c>
      <c r="AG274">
        <v>158.5</v>
      </c>
      <c r="AH274">
        <v>149</v>
      </c>
      <c r="AI274">
        <v>153.9</v>
      </c>
      <c r="AJ274">
        <f t="shared" si="29"/>
        <v>153.79999999999998</v>
      </c>
    </row>
    <row r="275" spans="1:36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f t="shared" si="26"/>
        <v>155.02142857142854</v>
      </c>
      <c r="S275">
        <v>155.4</v>
      </c>
      <c r="T275">
        <v>149.9</v>
      </c>
      <c r="U275">
        <v>154.6</v>
      </c>
      <c r="V275">
        <f t="shared" si="24"/>
        <v>153.29999999999998</v>
      </c>
      <c r="W275">
        <v>139.2560976</v>
      </c>
      <c r="X275">
        <v>146.4</v>
      </c>
      <c r="Y275">
        <v>151.6</v>
      </c>
      <c r="Z275">
        <f t="shared" si="25"/>
        <v>145.75203253333333</v>
      </c>
      <c r="AA275">
        <v>159.1</v>
      </c>
      <c r="AB275">
        <v>157.4</v>
      </c>
      <c r="AC275">
        <f t="shared" si="27"/>
        <v>158.25</v>
      </c>
      <c r="AD275">
        <v>144.6</v>
      </c>
      <c r="AE275">
        <v>152.80000000000001</v>
      </c>
      <c r="AF275">
        <f t="shared" si="28"/>
        <v>148.69999999999999</v>
      </c>
      <c r="AG275">
        <v>161.1</v>
      </c>
      <c r="AH275">
        <v>153.69999999999999</v>
      </c>
      <c r="AI275">
        <v>155.4</v>
      </c>
      <c r="AJ275">
        <f t="shared" si="29"/>
        <v>156.73333333333332</v>
      </c>
    </row>
    <row r="276" spans="1:36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f t="shared" si="26"/>
        <v>159.30714285714288</v>
      </c>
      <c r="S276">
        <v>150.19999999999999</v>
      </c>
      <c r="T276">
        <v>136.30000000000001</v>
      </c>
      <c r="U276">
        <v>148.1</v>
      </c>
      <c r="V276">
        <f t="shared" si="24"/>
        <v>144.86666666666667</v>
      </c>
      <c r="W276" t="s">
        <v>134</v>
      </c>
      <c r="X276">
        <v>137.19999999999999</v>
      </c>
      <c r="Y276">
        <v>145.4</v>
      </c>
      <c r="Z276">
        <f t="shared" si="25"/>
        <v>141.30000000000001</v>
      </c>
      <c r="AA276">
        <v>150</v>
      </c>
      <c r="AB276">
        <v>159.80000000000001</v>
      </c>
      <c r="AC276">
        <f t="shared" si="27"/>
        <v>154.9</v>
      </c>
      <c r="AD276">
        <v>135.1</v>
      </c>
      <c r="AE276">
        <v>141.80000000000001</v>
      </c>
      <c r="AF276">
        <f t="shared" si="28"/>
        <v>138.44999999999999</v>
      </c>
      <c r="AG276">
        <v>154.9</v>
      </c>
      <c r="AH276">
        <v>146</v>
      </c>
      <c r="AI276">
        <v>154</v>
      </c>
      <c r="AJ276">
        <f t="shared" si="29"/>
        <v>151.63333333333333</v>
      </c>
    </row>
    <row r="277" spans="1:36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f t="shared" si="26"/>
        <v>156.52857142857144</v>
      </c>
      <c r="S277">
        <v>153.4</v>
      </c>
      <c r="T277">
        <v>144.30000000000001</v>
      </c>
      <c r="U277">
        <v>152</v>
      </c>
      <c r="V277">
        <f t="shared" si="24"/>
        <v>149.9</v>
      </c>
      <c r="W277" t="s">
        <v>134</v>
      </c>
      <c r="X277">
        <v>142.9</v>
      </c>
      <c r="Y277">
        <v>148.69999999999999</v>
      </c>
      <c r="Z277">
        <f t="shared" si="25"/>
        <v>145.80000000000001</v>
      </c>
      <c r="AA277">
        <v>155.6</v>
      </c>
      <c r="AB277">
        <v>158.4</v>
      </c>
      <c r="AC277">
        <f t="shared" si="27"/>
        <v>157</v>
      </c>
      <c r="AD277">
        <v>139.6</v>
      </c>
      <c r="AE277">
        <v>146.6</v>
      </c>
      <c r="AF277">
        <f t="shared" si="28"/>
        <v>143.1</v>
      </c>
      <c r="AG277">
        <v>157.5</v>
      </c>
      <c r="AH277">
        <v>150</v>
      </c>
      <c r="AI277">
        <v>154.69999999999999</v>
      </c>
      <c r="AJ277">
        <f t="shared" si="29"/>
        <v>154.06666666666666</v>
      </c>
    </row>
    <row r="278" spans="1:36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f t="shared" si="26"/>
        <v>158.1142857142857</v>
      </c>
      <c r="S278">
        <v>155.69999999999999</v>
      </c>
      <c r="T278">
        <v>150.6</v>
      </c>
      <c r="U278">
        <v>155</v>
      </c>
      <c r="V278">
        <f t="shared" si="24"/>
        <v>153.76666666666665</v>
      </c>
      <c r="W278">
        <v>139.2560976</v>
      </c>
      <c r="X278">
        <v>146.80000000000001</v>
      </c>
      <c r="Y278">
        <v>152</v>
      </c>
      <c r="Z278">
        <f t="shared" si="25"/>
        <v>146.01869920000001</v>
      </c>
      <c r="AA278">
        <v>159.5</v>
      </c>
      <c r="AB278">
        <v>156.19999999999999</v>
      </c>
      <c r="AC278">
        <f t="shared" si="27"/>
        <v>157.85</v>
      </c>
      <c r="AD278">
        <v>146.4</v>
      </c>
      <c r="AE278">
        <v>152.4</v>
      </c>
      <c r="AF278">
        <f t="shared" si="28"/>
        <v>149.4</v>
      </c>
      <c r="AG278">
        <v>162.5</v>
      </c>
      <c r="AH278">
        <v>154.30000000000001</v>
      </c>
      <c r="AI278">
        <v>157.5</v>
      </c>
      <c r="AJ278">
        <f t="shared" si="29"/>
        <v>158.1</v>
      </c>
    </row>
    <row r="279" spans="1:36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f t="shared" si="26"/>
        <v>162.06428571428569</v>
      </c>
      <c r="S279">
        <v>150.5</v>
      </c>
      <c r="T279">
        <v>136.1</v>
      </c>
      <c r="U279">
        <v>148.30000000000001</v>
      </c>
      <c r="V279">
        <f t="shared" si="24"/>
        <v>144.96666666666667</v>
      </c>
      <c r="W279" t="s">
        <v>135</v>
      </c>
      <c r="X279">
        <v>137.1</v>
      </c>
      <c r="Y279">
        <v>145.1</v>
      </c>
      <c r="Z279">
        <f t="shared" si="25"/>
        <v>141.1</v>
      </c>
      <c r="AA279">
        <v>151</v>
      </c>
      <c r="AB279">
        <v>158.1</v>
      </c>
      <c r="AC279">
        <f t="shared" si="27"/>
        <v>154.55000000000001</v>
      </c>
      <c r="AD279">
        <v>135.4</v>
      </c>
      <c r="AE279">
        <v>142</v>
      </c>
      <c r="AF279">
        <f t="shared" si="28"/>
        <v>138.69999999999999</v>
      </c>
      <c r="AG279">
        <v>155.69999999999999</v>
      </c>
      <c r="AH279">
        <v>146.19999999999999</v>
      </c>
      <c r="AI279">
        <v>155.19999999999999</v>
      </c>
      <c r="AJ279">
        <f t="shared" si="29"/>
        <v>152.36666666666665</v>
      </c>
    </row>
    <row r="280" spans="1:36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f t="shared" si="26"/>
        <v>159.49285714285719</v>
      </c>
      <c r="S280">
        <v>153.69999999999999</v>
      </c>
      <c r="T280">
        <v>144.6</v>
      </c>
      <c r="U280">
        <v>152.30000000000001</v>
      </c>
      <c r="V280">
        <f t="shared" si="24"/>
        <v>150.19999999999999</v>
      </c>
      <c r="W280" t="s">
        <v>135</v>
      </c>
      <c r="X280">
        <v>143.1</v>
      </c>
      <c r="Y280">
        <v>148.69999999999999</v>
      </c>
      <c r="Z280">
        <f t="shared" si="25"/>
        <v>145.89999999999998</v>
      </c>
      <c r="AA280">
        <v>156.30000000000001</v>
      </c>
      <c r="AB280">
        <v>157</v>
      </c>
      <c r="AC280">
        <f t="shared" si="27"/>
        <v>156.65</v>
      </c>
      <c r="AD280">
        <v>140.6</v>
      </c>
      <c r="AE280">
        <v>146.5</v>
      </c>
      <c r="AF280">
        <f t="shared" si="28"/>
        <v>143.55000000000001</v>
      </c>
      <c r="AG280">
        <v>158.5</v>
      </c>
      <c r="AH280">
        <v>150.4</v>
      </c>
      <c r="AI280">
        <v>156.4</v>
      </c>
      <c r="AJ280">
        <f t="shared" si="29"/>
        <v>155.1</v>
      </c>
    </row>
    <row r="281" spans="1:36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f t="shared" si="26"/>
        <v>161.84285714285716</v>
      </c>
      <c r="S281">
        <v>156.30000000000001</v>
      </c>
      <c r="T281">
        <v>151</v>
      </c>
      <c r="U281">
        <v>155.5</v>
      </c>
      <c r="V281">
        <f t="shared" si="24"/>
        <v>154.26666666666668</v>
      </c>
      <c r="W281">
        <v>139.2560976</v>
      </c>
      <c r="X281">
        <v>147.5</v>
      </c>
      <c r="Y281">
        <v>152.80000000000001</v>
      </c>
      <c r="Z281">
        <f t="shared" si="25"/>
        <v>146.51869919999999</v>
      </c>
      <c r="AA281">
        <v>160.4</v>
      </c>
      <c r="AB281">
        <v>156.19999999999999</v>
      </c>
      <c r="AC281">
        <f t="shared" si="27"/>
        <v>158.30000000000001</v>
      </c>
      <c r="AD281">
        <v>146.1</v>
      </c>
      <c r="AE281">
        <v>153.6</v>
      </c>
      <c r="AF281">
        <f t="shared" si="28"/>
        <v>149.85</v>
      </c>
      <c r="AG281">
        <v>161.6</v>
      </c>
      <c r="AH281">
        <v>154.5</v>
      </c>
      <c r="AI281">
        <v>159.80000000000001</v>
      </c>
      <c r="AJ281">
        <f t="shared" si="29"/>
        <v>158.63333333333335</v>
      </c>
    </row>
    <row r="282" spans="1:36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f t="shared" si="26"/>
        <v>164.96428571428572</v>
      </c>
      <c r="S282">
        <v>151.1</v>
      </c>
      <c r="T282">
        <v>136.4</v>
      </c>
      <c r="U282">
        <v>148.80000000000001</v>
      </c>
      <c r="V282">
        <f t="shared" si="24"/>
        <v>145.43333333333334</v>
      </c>
      <c r="W282" t="s">
        <v>136</v>
      </c>
      <c r="X282">
        <v>137.30000000000001</v>
      </c>
      <c r="Y282">
        <v>145.1</v>
      </c>
      <c r="Z282">
        <f t="shared" si="25"/>
        <v>141.19999999999999</v>
      </c>
      <c r="AA282">
        <v>152</v>
      </c>
      <c r="AB282">
        <v>157.9</v>
      </c>
      <c r="AC282">
        <f t="shared" si="27"/>
        <v>154.94999999999999</v>
      </c>
      <c r="AD282">
        <v>135.19999999999999</v>
      </c>
      <c r="AE282">
        <v>144.4</v>
      </c>
      <c r="AF282">
        <f t="shared" si="28"/>
        <v>139.80000000000001</v>
      </c>
      <c r="AG282">
        <v>156.4</v>
      </c>
      <c r="AH282">
        <v>146.6</v>
      </c>
      <c r="AI282">
        <v>156.69999999999999</v>
      </c>
      <c r="AJ282">
        <f t="shared" si="29"/>
        <v>153.23333333333332</v>
      </c>
    </row>
    <row r="283" spans="1:36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f t="shared" si="26"/>
        <v>162.8857142857143</v>
      </c>
      <c r="S283">
        <v>154.30000000000001</v>
      </c>
      <c r="T283">
        <v>144.9</v>
      </c>
      <c r="U283">
        <v>152.80000000000001</v>
      </c>
      <c r="V283">
        <f t="shared" si="24"/>
        <v>150.66666666666669</v>
      </c>
      <c r="W283" t="s">
        <v>136</v>
      </c>
      <c r="X283">
        <v>143.6</v>
      </c>
      <c r="Y283">
        <v>149.19999999999999</v>
      </c>
      <c r="Z283">
        <f t="shared" si="25"/>
        <v>146.39999999999998</v>
      </c>
      <c r="AA283">
        <v>157.19999999999999</v>
      </c>
      <c r="AB283">
        <v>156.9</v>
      </c>
      <c r="AC283">
        <f t="shared" si="27"/>
        <v>157.05000000000001</v>
      </c>
      <c r="AD283">
        <v>140.4</v>
      </c>
      <c r="AE283">
        <v>148.4</v>
      </c>
      <c r="AF283">
        <f t="shared" si="28"/>
        <v>144.4</v>
      </c>
      <c r="AG283">
        <v>158.6</v>
      </c>
      <c r="AH283">
        <v>150.69999999999999</v>
      </c>
      <c r="AI283">
        <v>158.4</v>
      </c>
      <c r="AJ283">
        <f t="shared" si="29"/>
        <v>155.89999999999998</v>
      </c>
    </row>
    <row r="284" spans="1:36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f t="shared" si="26"/>
        <v>163.15</v>
      </c>
      <c r="S284">
        <v>157</v>
      </c>
      <c r="T284">
        <v>151.6</v>
      </c>
      <c r="U284">
        <v>156.30000000000001</v>
      </c>
      <c r="V284">
        <f t="shared" si="24"/>
        <v>154.96666666666667</v>
      </c>
      <c r="W284">
        <v>139.2560976</v>
      </c>
      <c r="X284">
        <v>148.69999999999999</v>
      </c>
      <c r="Y284">
        <v>153.4</v>
      </c>
      <c r="Z284">
        <f t="shared" si="25"/>
        <v>147.11869920000001</v>
      </c>
      <c r="AA284">
        <v>161.6</v>
      </c>
      <c r="AB284">
        <v>156.6</v>
      </c>
      <c r="AC284">
        <f t="shared" si="27"/>
        <v>159.1</v>
      </c>
      <c r="AD284">
        <v>146.4</v>
      </c>
      <c r="AE284">
        <v>153.9</v>
      </c>
      <c r="AF284">
        <f t="shared" si="28"/>
        <v>150.15</v>
      </c>
      <c r="AG284">
        <v>162.9</v>
      </c>
      <c r="AH284">
        <v>155.19999999999999</v>
      </c>
      <c r="AI284">
        <v>160.69999999999999</v>
      </c>
      <c r="AJ284">
        <f t="shared" si="29"/>
        <v>159.6</v>
      </c>
    </row>
    <row r="285" spans="1:36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f t="shared" si="26"/>
        <v>165.4</v>
      </c>
      <c r="S285">
        <v>151.9</v>
      </c>
      <c r="T285">
        <v>136.69999999999999</v>
      </c>
      <c r="U285">
        <v>149.6</v>
      </c>
      <c r="V285">
        <f t="shared" si="24"/>
        <v>146.06666666666669</v>
      </c>
      <c r="W285" t="s">
        <v>137</v>
      </c>
      <c r="X285">
        <v>137.9</v>
      </c>
      <c r="Y285">
        <v>145.5</v>
      </c>
      <c r="Z285">
        <f t="shared" si="25"/>
        <v>141.69999999999999</v>
      </c>
      <c r="AA285">
        <v>152.9</v>
      </c>
      <c r="AB285">
        <v>157.9</v>
      </c>
      <c r="AC285">
        <f t="shared" si="27"/>
        <v>155.4</v>
      </c>
      <c r="AD285">
        <v>135.5</v>
      </c>
      <c r="AE285">
        <v>144.30000000000001</v>
      </c>
      <c r="AF285">
        <f t="shared" si="28"/>
        <v>139.9</v>
      </c>
      <c r="AG285">
        <v>156.9</v>
      </c>
      <c r="AH285">
        <v>146.9</v>
      </c>
      <c r="AI285">
        <v>156.9</v>
      </c>
      <c r="AJ285">
        <f t="shared" si="29"/>
        <v>153.56666666666669</v>
      </c>
    </row>
    <row r="286" spans="1:36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f t="shared" si="26"/>
        <v>163.89285714285714</v>
      </c>
      <c r="S286">
        <v>155</v>
      </c>
      <c r="T286">
        <v>145.4</v>
      </c>
      <c r="U286">
        <v>153.6</v>
      </c>
      <c r="V286">
        <f t="shared" si="24"/>
        <v>151.33333333333334</v>
      </c>
      <c r="W286" t="s">
        <v>137</v>
      </c>
      <c r="X286">
        <v>144.6</v>
      </c>
      <c r="Y286">
        <v>149.69999999999999</v>
      </c>
      <c r="Z286">
        <f t="shared" si="25"/>
        <v>147.14999999999998</v>
      </c>
      <c r="AA286">
        <v>158.30000000000001</v>
      </c>
      <c r="AB286">
        <v>157.1</v>
      </c>
      <c r="AC286">
        <f t="shared" si="27"/>
        <v>157.69999999999999</v>
      </c>
      <c r="AD286">
        <v>140.69999999999999</v>
      </c>
      <c r="AE286">
        <v>148.5</v>
      </c>
      <c r="AF286">
        <f t="shared" si="28"/>
        <v>144.6</v>
      </c>
      <c r="AG286">
        <v>159.4</v>
      </c>
      <c r="AH286">
        <v>151.19999999999999</v>
      </c>
      <c r="AI286">
        <v>158.9</v>
      </c>
      <c r="AJ286">
        <f t="shared" si="29"/>
        <v>156.5</v>
      </c>
    </row>
    <row r="287" spans="1:36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f t="shared" si="26"/>
        <v>160.73571428571427</v>
      </c>
      <c r="S287">
        <v>157.5</v>
      </c>
      <c r="T287">
        <v>152.4</v>
      </c>
      <c r="U287">
        <v>156.80000000000001</v>
      </c>
      <c r="V287">
        <f t="shared" si="24"/>
        <v>155.56666666666666</v>
      </c>
      <c r="W287">
        <v>139.2560976</v>
      </c>
      <c r="X287">
        <v>150.9</v>
      </c>
      <c r="Y287">
        <v>153.9</v>
      </c>
      <c r="Z287">
        <f t="shared" si="25"/>
        <v>148.01869920000001</v>
      </c>
      <c r="AA287">
        <v>162.5</v>
      </c>
      <c r="AB287">
        <v>156.19999999999999</v>
      </c>
      <c r="AC287">
        <f t="shared" si="27"/>
        <v>159.35</v>
      </c>
      <c r="AD287">
        <v>147.5</v>
      </c>
      <c r="AE287">
        <v>155.1</v>
      </c>
      <c r="AF287">
        <f t="shared" si="28"/>
        <v>151.30000000000001</v>
      </c>
      <c r="AG287">
        <v>163.5</v>
      </c>
      <c r="AH287">
        <v>155.9</v>
      </c>
      <c r="AI287">
        <v>158.5</v>
      </c>
      <c r="AJ287">
        <f t="shared" si="29"/>
        <v>159.29999999999998</v>
      </c>
    </row>
    <row r="288" spans="1:36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f t="shared" si="26"/>
        <v>163.48571428571429</v>
      </c>
      <c r="S288">
        <v>152.5</v>
      </c>
      <c r="T288">
        <v>137.30000000000001</v>
      </c>
      <c r="U288">
        <v>150.19999999999999</v>
      </c>
      <c r="V288">
        <f t="shared" si="24"/>
        <v>146.66666666666666</v>
      </c>
      <c r="W288" t="s">
        <v>138</v>
      </c>
      <c r="X288">
        <v>142.9</v>
      </c>
      <c r="Y288">
        <v>145.69999999999999</v>
      </c>
      <c r="Z288">
        <f t="shared" si="25"/>
        <v>144.30000000000001</v>
      </c>
      <c r="AA288">
        <v>154.1</v>
      </c>
      <c r="AB288">
        <v>157.69999999999999</v>
      </c>
      <c r="AC288">
        <f t="shared" si="27"/>
        <v>155.89999999999998</v>
      </c>
      <c r="AD288">
        <v>136.9</v>
      </c>
      <c r="AE288">
        <v>145.4</v>
      </c>
      <c r="AF288">
        <f t="shared" si="28"/>
        <v>141.15</v>
      </c>
      <c r="AG288">
        <v>156.1</v>
      </c>
      <c r="AH288">
        <v>147.6</v>
      </c>
      <c r="AI288">
        <v>156</v>
      </c>
      <c r="AJ288">
        <f t="shared" si="29"/>
        <v>153.23333333333332</v>
      </c>
    </row>
    <row r="289" spans="1:36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f t="shared" si="26"/>
        <v>161.64285714285714</v>
      </c>
      <c r="S289">
        <v>155.5</v>
      </c>
      <c r="T289">
        <v>146.1</v>
      </c>
      <c r="U289">
        <v>154.19999999999999</v>
      </c>
      <c r="V289">
        <f t="shared" si="24"/>
        <v>151.93333333333334</v>
      </c>
      <c r="W289">
        <v>157.69999999999999</v>
      </c>
      <c r="X289">
        <v>147.9</v>
      </c>
      <c r="Y289">
        <v>150</v>
      </c>
      <c r="Z289">
        <f t="shared" si="25"/>
        <v>151.86666666666667</v>
      </c>
      <c r="AA289">
        <v>159.30000000000001</v>
      </c>
      <c r="AB289">
        <v>156.80000000000001</v>
      </c>
      <c r="AC289">
        <f t="shared" si="27"/>
        <v>158.05000000000001</v>
      </c>
      <c r="AD289">
        <v>141.9</v>
      </c>
      <c r="AE289">
        <v>149.6</v>
      </c>
      <c r="AF289">
        <f t="shared" si="28"/>
        <v>145.75</v>
      </c>
      <c r="AG289">
        <v>159.19999999999999</v>
      </c>
      <c r="AH289">
        <v>151.9</v>
      </c>
      <c r="AI289">
        <v>157.30000000000001</v>
      </c>
      <c r="AJ289">
        <f t="shared" si="29"/>
        <v>156.13333333333335</v>
      </c>
    </row>
    <row r="290" spans="1:36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f t="shared" si="26"/>
        <v>157.98571428571429</v>
      </c>
      <c r="S290">
        <v>159.1</v>
      </c>
      <c r="T290">
        <v>153.9</v>
      </c>
      <c r="U290">
        <v>158.4</v>
      </c>
      <c r="V290">
        <f t="shared" si="24"/>
        <v>157.13333333333333</v>
      </c>
      <c r="W290">
        <v>139.2560976</v>
      </c>
      <c r="X290">
        <v>154.4</v>
      </c>
      <c r="Y290">
        <v>154.80000000000001</v>
      </c>
      <c r="Z290">
        <f t="shared" si="25"/>
        <v>149.48536586666668</v>
      </c>
      <c r="AA290">
        <v>164.3</v>
      </c>
      <c r="AB290">
        <v>155.19999999999999</v>
      </c>
      <c r="AC290">
        <f t="shared" si="27"/>
        <v>159.75</v>
      </c>
      <c r="AD290">
        <v>150.19999999999999</v>
      </c>
      <c r="AE290">
        <v>157</v>
      </c>
      <c r="AF290">
        <f t="shared" si="28"/>
        <v>153.6</v>
      </c>
      <c r="AG290">
        <v>163.6</v>
      </c>
      <c r="AH290">
        <v>157.19999999999999</v>
      </c>
      <c r="AI290">
        <v>156.69999999999999</v>
      </c>
      <c r="AJ290">
        <f t="shared" si="29"/>
        <v>159.16666666666666</v>
      </c>
    </row>
    <row r="291" spans="1:36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f t="shared" si="26"/>
        <v>161.37857142857143</v>
      </c>
      <c r="S291">
        <v>154.19999999999999</v>
      </c>
      <c r="T291">
        <v>138.19999999999999</v>
      </c>
      <c r="U291">
        <v>151.80000000000001</v>
      </c>
      <c r="V291">
        <f t="shared" si="24"/>
        <v>148.06666666666666</v>
      </c>
      <c r="W291" t="s">
        <v>139</v>
      </c>
      <c r="X291">
        <v>149.1</v>
      </c>
      <c r="Y291">
        <v>146.5</v>
      </c>
      <c r="Z291">
        <f t="shared" si="25"/>
        <v>147.80000000000001</v>
      </c>
      <c r="AA291">
        <v>156.30000000000001</v>
      </c>
      <c r="AB291">
        <v>156.69999999999999</v>
      </c>
      <c r="AC291">
        <f t="shared" si="27"/>
        <v>156.5</v>
      </c>
      <c r="AD291">
        <v>140.5</v>
      </c>
      <c r="AE291">
        <v>147.30000000000001</v>
      </c>
      <c r="AF291">
        <f t="shared" si="28"/>
        <v>143.9</v>
      </c>
      <c r="AG291">
        <v>156.6</v>
      </c>
      <c r="AH291">
        <v>149.30000000000001</v>
      </c>
      <c r="AI291">
        <v>156.5</v>
      </c>
      <c r="AJ291">
        <f t="shared" si="29"/>
        <v>154.13333333333333</v>
      </c>
    </row>
    <row r="292" spans="1:36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f t="shared" si="26"/>
        <v>159.11428571428573</v>
      </c>
      <c r="S292">
        <v>157.19999999999999</v>
      </c>
      <c r="T292">
        <v>147.4</v>
      </c>
      <c r="U292">
        <v>155.80000000000001</v>
      </c>
      <c r="V292">
        <f t="shared" si="24"/>
        <v>153.46666666666667</v>
      </c>
      <c r="W292">
        <v>159.80000000000001</v>
      </c>
      <c r="X292">
        <v>152.4</v>
      </c>
      <c r="Y292">
        <v>150.9</v>
      </c>
      <c r="Z292">
        <f t="shared" si="25"/>
        <v>154.36666666666667</v>
      </c>
      <c r="AA292">
        <v>161.30000000000001</v>
      </c>
      <c r="AB292">
        <v>155.80000000000001</v>
      </c>
      <c r="AC292">
        <f t="shared" si="27"/>
        <v>158.55000000000001</v>
      </c>
      <c r="AD292">
        <v>145.1</v>
      </c>
      <c r="AE292">
        <v>151.5</v>
      </c>
      <c r="AF292">
        <f t="shared" si="28"/>
        <v>148.30000000000001</v>
      </c>
      <c r="AG292">
        <v>159.5</v>
      </c>
      <c r="AH292">
        <v>153.4</v>
      </c>
      <c r="AI292">
        <v>156.6</v>
      </c>
      <c r="AJ292">
        <f t="shared" si="29"/>
        <v>156.5</v>
      </c>
    </row>
    <row r="293" spans="1:36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f t="shared" si="26"/>
        <v>157.98571428571429</v>
      </c>
      <c r="S293">
        <v>159.6</v>
      </c>
      <c r="T293">
        <v>154.4</v>
      </c>
      <c r="U293">
        <v>158.9</v>
      </c>
      <c r="V293">
        <f t="shared" si="24"/>
        <v>157.63333333333333</v>
      </c>
      <c r="W293">
        <v>159.9</v>
      </c>
      <c r="X293">
        <v>156</v>
      </c>
      <c r="Y293">
        <v>154.80000000000001</v>
      </c>
      <c r="Z293">
        <f t="shared" si="25"/>
        <v>156.9</v>
      </c>
      <c r="AA293">
        <v>164.6</v>
      </c>
      <c r="AB293">
        <v>153.1</v>
      </c>
      <c r="AC293">
        <f t="shared" si="27"/>
        <v>158.85</v>
      </c>
      <c r="AD293">
        <v>151.30000000000001</v>
      </c>
      <c r="AE293">
        <v>157.80000000000001</v>
      </c>
      <c r="AF293">
        <f t="shared" si="28"/>
        <v>154.55000000000001</v>
      </c>
      <c r="AG293">
        <v>163.80000000000001</v>
      </c>
      <c r="AH293">
        <v>157.30000000000001</v>
      </c>
      <c r="AI293">
        <v>156.69999999999999</v>
      </c>
      <c r="AJ293">
        <f t="shared" si="29"/>
        <v>159.26666666666668</v>
      </c>
    </row>
    <row r="294" spans="1:36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f t="shared" si="26"/>
        <v>161.28571428571425</v>
      </c>
      <c r="S294">
        <v>155.1</v>
      </c>
      <c r="T294">
        <v>138.69999999999999</v>
      </c>
      <c r="U294">
        <v>152.6</v>
      </c>
      <c r="V294">
        <f t="shared" si="24"/>
        <v>148.79999999999998</v>
      </c>
      <c r="W294">
        <v>161.4</v>
      </c>
      <c r="X294">
        <v>154.80000000000001</v>
      </c>
      <c r="Y294">
        <v>147.19999999999999</v>
      </c>
      <c r="Z294">
        <f t="shared" si="25"/>
        <v>154.46666666666667</v>
      </c>
      <c r="AA294">
        <v>156.9</v>
      </c>
      <c r="AB294">
        <v>154.9</v>
      </c>
      <c r="AC294">
        <f t="shared" si="27"/>
        <v>155.9</v>
      </c>
      <c r="AD294">
        <v>141.69999999999999</v>
      </c>
      <c r="AE294">
        <v>148.6</v>
      </c>
      <c r="AF294">
        <f t="shared" si="28"/>
        <v>145.14999999999998</v>
      </c>
      <c r="AG294">
        <v>157.6</v>
      </c>
      <c r="AH294">
        <v>150</v>
      </c>
      <c r="AI294">
        <v>156.9</v>
      </c>
      <c r="AJ294">
        <f t="shared" si="29"/>
        <v>154.83333333333334</v>
      </c>
    </row>
    <row r="295" spans="1:36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f t="shared" si="26"/>
        <v>159.10714285714286</v>
      </c>
      <c r="S295">
        <v>157.80000000000001</v>
      </c>
      <c r="T295">
        <v>147.9</v>
      </c>
      <c r="U295">
        <v>156.4</v>
      </c>
      <c r="V295">
        <f t="shared" si="24"/>
        <v>154.03333333333333</v>
      </c>
      <c r="W295">
        <v>161.6</v>
      </c>
      <c r="X295">
        <v>155.5</v>
      </c>
      <c r="Y295">
        <v>151.19999999999999</v>
      </c>
      <c r="Z295">
        <f t="shared" si="25"/>
        <v>156.1</v>
      </c>
      <c r="AA295">
        <v>161.69999999999999</v>
      </c>
      <c r="AB295">
        <v>153.80000000000001</v>
      </c>
      <c r="AC295">
        <f t="shared" si="27"/>
        <v>157.75</v>
      </c>
      <c r="AD295">
        <v>146.19999999999999</v>
      </c>
      <c r="AE295">
        <v>152.6</v>
      </c>
      <c r="AF295">
        <f t="shared" si="28"/>
        <v>149.39999999999998</v>
      </c>
      <c r="AG295">
        <v>160.19999999999999</v>
      </c>
      <c r="AH295">
        <v>153.80000000000001</v>
      </c>
      <c r="AI295">
        <v>156.80000000000001</v>
      </c>
      <c r="AJ295">
        <f t="shared" si="29"/>
        <v>156.93333333333334</v>
      </c>
    </row>
    <row r="296" spans="1:36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f t="shared" si="26"/>
        <v>159.73571428571429</v>
      </c>
      <c r="S296">
        <v>160.69999999999999</v>
      </c>
      <c r="T296">
        <v>155.1</v>
      </c>
      <c r="U296">
        <v>159.9</v>
      </c>
      <c r="V296">
        <f t="shared" si="24"/>
        <v>158.56666666666663</v>
      </c>
      <c r="W296">
        <v>160.5</v>
      </c>
      <c r="X296">
        <v>156</v>
      </c>
      <c r="Y296">
        <v>155.5</v>
      </c>
      <c r="Z296">
        <f t="shared" si="25"/>
        <v>157.33333333333334</v>
      </c>
      <c r="AA296">
        <v>165.3</v>
      </c>
      <c r="AB296">
        <v>154.6</v>
      </c>
      <c r="AC296">
        <f t="shared" si="27"/>
        <v>159.94999999999999</v>
      </c>
      <c r="AD296">
        <v>151.69999999999999</v>
      </c>
      <c r="AE296">
        <v>158.6</v>
      </c>
      <c r="AF296">
        <f t="shared" si="28"/>
        <v>155.14999999999998</v>
      </c>
      <c r="AG296">
        <v>164.1</v>
      </c>
      <c r="AH296">
        <v>158</v>
      </c>
      <c r="AI296">
        <v>157.6</v>
      </c>
      <c r="AJ296">
        <f t="shared" si="29"/>
        <v>159.9</v>
      </c>
    </row>
    <row r="297" spans="1:36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f t="shared" si="26"/>
        <v>163.14285714285714</v>
      </c>
      <c r="S297">
        <v>155.9</v>
      </c>
      <c r="T297">
        <v>139.30000000000001</v>
      </c>
      <c r="U297">
        <v>153.4</v>
      </c>
      <c r="V297">
        <f t="shared" si="24"/>
        <v>149.53333333333333</v>
      </c>
      <c r="W297">
        <v>161.5</v>
      </c>
      <c r="X297">
        <v>154.9</v>
      </c>
      <c r="Y297">
        <v>147.6</v>
      </c>
      <c r="Z297">
        <f t="shared" si="25"/>
        <v>154.66666666666666</v>
      </c>
      <c r="AA297">
        <v>157.5</v>
      </c>
      <c r="AB297">
        <v>156.6</v>
      </c>
      <c r="AC297">
        <f t="shared" si="27"/>
        <v>157.05000000000001</v>
      </c>
      <c r="AD297">
        <v>142.1</v>
      </c>
      <c r="AE297">
        <v>149.1</v>
      </c>
      <c r="AF297">
        <f t="shared" si="28"/>
        <v>145.6</v>
      </c>
      <c r="AG297">
        <v>157.6</v>
      </c>
      <c r="AH297">
        <v>150.5</v>
      </c>
      <c r="AI297">
        <v>158</v>
      </c>
      <c r="AJ297">
        <f t="shared" si="29"/>
        <v>155.36666666666667</v>
      </c>
    </row>
    <row r="298" spans="1:36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f t="shared" si="26"/>
        <v>160.92142857142858</v>
      </c>
      <c r="S298">
        <v>158.80000000000001</v>
      </c>
      <c r="T298">
        <v>148.5</v>
      </c>
      <c r="U298">
        <v>157.30000000000001</v>
      </c>
      <c r="V298">
        <f t="shared" si="24"/>
        <v>154.86666666666667</v>
      </c>
      <c r="W298">
        <v>162.1</v>
      </c>
      <c r="X298">
        <v>155.6</v>
      </c>
      <c r="Y298">
        <v>151.80000000000001</v>
      </c>
      <c r="Z298">
        <f t="shared" si="25"/>
        <v>156.5</v>
      </c>
      <c r="AA298">
        <v>162.30000000000001</v>
      </c>
      <c r="AB298">
        <v>155.4</v>
      </c>
      <c r="AC298">
        <f t="shared" si="27"/>
        <v>158.85000000000002</v>
      </c>
      <c r="AD298">
        <v>146.6</v>
      </c>
      <c r="AE298">
        <v>153.19999999999999</v>
      </c>
      <c r="AF298">
        <f t="shared" si="28"/>
        <v>149.89999999999998</v>
      </c>
      <c r="AG298">
        <v>160.30000000000001</v>
      </c>
      <c r="AH298">
        <v>154.4</v>
      </c>
      <c r="AI298">
        <v>157.80000000000001</v>
      </c>
      <c r="AJ298">
        <f t="shared" si="29"/>
        <v>157.50000000000003</v>
      </c>
    </row>
    <row r="299" spans="1:36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f t="shared" si="26"/>
        <v>163.20714285714283</v>
      </c>
      <c r="S299">
        <v>165.3</v>
      </c>
      <c r="T299">
        <v>160.6</v>
      </c>
      <c r="U299">
        <v>164.5</v>
      </c>
      <c r="V299">
        <f t="shared" si="24"/>
        <v>163.46666666666667</v>
      </c>
      <c r="W299">
        <v>162.1</v>
      </c>
      <c r="X299">
        <v>161.69999999999999</v>
      </c>
      <c r="Y299">
        <v>158.80000000000001</v>
      </c>
      <c r="Z299">
        <f t="shared" si="25"/>
        <v>160.86666666666665</v>
      </c>
      <c r="AA299">
        <v>169.1</v>
      </c>
      <c r="AB299">
        <v>159.30000000000001</v>
      </c>
      <c r="AC299">
        <f t="shared" si="27"/>
        <v>164.2</v>
      </c>
      <c r="AD299">
        <v>153.19999999999999</v>
      </c>
      <c r="AE299">
        <v>160</v>
      </c>
      <c r="AF299">
        <f t="shared" si="28"/>
        <v>156.6</v>
      </c>
      <c r="AG299">
        <v>167.6</v>
      </c>
      <c r="AH299">
        <v>161.1</v>
      </c>
      <c r="AI299">
        <v>161.1</v>
      </c>
      <c r="AJ299">
        <f t="shared" si="29"/>
        <v>163.26666666666665</v>
      </c>
    </row>
    <row r="300" spans="1:36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f t="shared" si="26"/>
        <v>165.92142857142858</v>
      </c>
      <c r="S300">
        <v>156.5</v>
      </c>
      <c r="T300">
        <v>140.19999999999999</v>
      </c>
      <c r="U300">
        <v>154.1</v>
      </c>
      <c r="V300">
        <f t="shared" si="24"/>
        <v>150.26666666666665</v>
      </c>
      <c r="W300">
        <v>163.6</v>
      </c>
      <c r="X300">
        <v>155.5</v>
      </c>
      <c r="Y300">
        <v>150.1</v>
      </c>
      <c r="Z300">
        <f t="shared" si="25"/>
        <v>156.4</v>
      </c>
      <c r="AA300">
        <v>160.4</v>
      </c>
      <c r="AB300">
        <v>157.5</v>
      </c>
      <c r="AC300">
        <f t="shared" si="27"/>
        <v>158.94999999999999</v>
      </c>
      <c r="AD300">
        <v>145</v>
      </c>
      <c r="AE300">
        <v>152.6</v>
      </c>
      <c r="AF300">
        <f t="shared" si="28"/>
        <v>148.80000000000001</v>
      </c>
      <c r="AG300">
        <v>156.6</v>
      </c>
      <c r="AH300">
        <v>152.30000000000001</v>
      </c>
      <c r="AI300">
        <v>159.5</v>
      </c>
      <c r="AJ300">
        <f t="shared" si="29"/>
        <v>156.13333333333333</v>
      </c>
    </row>
    <row r="301" spans="1:36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f t="shared" si="26"/>
        <v>164.11428571428573</v>
      </c>
      <c r="S301">
        <v>161.80000000000001</v>
      </c>
      <c r="T301">
        <v>152.1</v>
      </c>
      <c r="U301">
        <v>160.4</v>
      </c>
      <c r="V301">
        <f t="shared" si="24"/>
        <v>158.1</v>
      </c>
      <c r="W301">
        <v>164.2</v>
      </c>
      <c r="X301">
        <v>159.4</v>
      </c>
      <c r="Y301">
        <v>154.69999999999999</v>
      </c>
      <c r="Z301">
        <f t="shared" si="25"/>
        <v>159.43333333333334</v>
      </c>
      <c r="AA301">
        <v>165.8</v>
      </c>
      <c r="AB301">
        <v>158.6</v>
      </c>
      <c r="AC301">
        <f t="shared" si="27"/>
        <v>162.19999999999999</v>
      </c>
      <c r="AD301">
        <v>148.9</v>
      </c>
      <c r="AE301">
        <v>155.80000000000001</v>
      </c>
      <c r="AF301">
        <f t="shared" si="28"/>
        <v>152.35000000000002</v>
      </c>
      <c r="AG301">
        <v>161.19999999999999</v>
      </c>
      <c r="AH301">
        <v>156.80000000000001</v>
      </c>
      <c r="AI301">
        <v>160.4</v>
      </c>
      <c r="AJ301">
        <f t="shared" si="29"/>
        <v>159.46666666666667</v>
      </c>
    </row>
    <row r="302" spans="1:36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f t="shared" si="26"/>
        <v>165.12142857142857</v>
      </c>
      <c r="S302">
        <v>165.3</v>
      </c>
      <c r="T302">
        <v>159.9</v>
      </c>
      <c r="U302">
        <v>164.6</v>
      </c>
      <c r="V302">
        <f t="shared" si="24"/>
        <v>163.26666666666668</v>
      </c>
      <c r="W302">
        <v>163.4</v>
      </c>
      <c r="X302">
        <v>162.1</v>
      </c>
      <c r="Y302">
        <v>159.19999999999999</v>
      </c>
      <c r="Z302">
        <f t="shared" si="25"/>
        <v>161.56666666666666</v>
      </c>
      <c r="AA302">
        <v>169.7</v>
      </c>
      <c r="AB302">
        <v>159.4</v>
      </c>
      <c r="AC302">
        <f t="shared" si="27"/>
        <v>164.55</v>
      </c>
      <c r="AD302">
        <v>154.19999999999999</v>
      </c>
      <c r="AE302">
        <v>160.4</v>
      </c>
      <c r="AF302">
        <f t="shared" si="28"/>
        <v>157.30000000000001</v>
      </c>
      <c r="AG302">
        <v>166.8</v>
      </c>
      <c r="AH302">
        <v>161.5</v>
      </c>
      <c r="AI302">
        <v>162.1</v>
      </c>
      <c r="AJ302">
        <f t="shared" si="29"/>
        <v>163.46666666666667</v>
      </c>
    </row>
    <row r="303" spans="1:36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f t="shared" si="26"/>
        <v>167.84285714285713</v>
      </c>
      <c r="S303">
        <v>157.30000000000001</v>
      </c>
      <c r="T303">
        <v>140.5</v>
      </c>
      <c r="U303">
        <v>154.80000000000001</v>
      </c>
      <c r="V303">
        <f t="shared" si="24"/>
        <v>150.86666666666667</v>
      </c>
      <c r="W303">
        <v>164.5</v>
      </c>
      <c r="X303">
        <v>156.1</v>
      </c>
      <c r="Y303">
        <v>149.80000000000001</v>
      </c>
      <c r="Z303">
        <f t="shared" si="25"/>
        <v>156.80000000000001</v>
      </c>
      <c r="AA303">
        <v>160.80000000000001</v>
      </c>
      <c r="AB303">
        <v>158</v>
      </c>
      <c r="AC303">
        <f t="shared" si="27"/>
        <v>159.4</v>
      </c>
      <c r="AD303">
        <v>147.5</v>
      </c>
      <c r="AE303">
        <v>150.69999999999999</v>
      </c>
      <c r="AF303">
        <f t="shared" si="28"/>
        <v>149.1</v>
      </c>
      <c r="AG303">
        <v>158.1</v>
      </c>
      <c r="AH303">
        <v>153.4</v>
      </c>
      <c r="AI303">
        <v>160.4</v>
      </c>
      <c r="AJ303">
        <f t="shared" si="29"/>
        <v>157.29999999999998</v>
      </c>
    </row>
    <row r="304" spans="1:36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f t="shared" si="26"/>
        <v>166.05</v>
      </c>
      <c r="S304">
        <v>162.19999999999999</v>
      </c>
      <c r="T304">
        <v>151.80000000000001</v>
      </c>
      <c r="U304">
        <v>160.69999999999999</v>
      </c>
      <c r="V304">
        <f t="shared" si="24"/>
        <v>158.23333333333332</v>
      </c>
      <c r="W304">
        <v>165.5</v>
      </c>
      <c r="X304">
        <v>159.80000000000001</v>
      </c>
      <c r="Y304">
        <v>154.80000000000001</v>
      </c>
      <c r="Z304">
        <f t="shared" si="25"/>
        <v>160.03333333333333</v>
      </c>
      <c r="AA304">
        <v>166.3</v>
      </c>
      <c r="AB304">
        <v>158.80000000000001</v>
      </c>
      <c r="AC304">
        <f t="shared" si="27"/>
        <v>162.55000000000001</v>
      </c>
      <c r="AD304">
        <v>150.69999999999999</v>
      </c>
      <c r="AE304">
        <v>154.9</v>
      </c>
      <c r="AF304">
        <f t="shared" si="28"/>
        <v>152.80000000000001</v>
      </c>
      <c r="AG304">
        <v>161.69999999999999</v>
      </c>
      <c r="AH304">
        <v>157.6</v>
      </c>
      <c r="AI304">
        <v>161.30000000000001</v>
      </c>
      <c r="AJ304">
        <f t="shared" si="29"/>
        <v>160.19999999999999</v>
      </c>
    </row>
    <row r="305" spans="1:36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f t="shared" si="26"/>
        <v>165.8642857142857</v>
      </c>
      <c r="S305">
        <v>166</v>
      </c>
      <c r="T305">
        <v>161.1</v>
      </c>
      <c r="U305">
        <v>165.3</v>
      </c>
      <c r="V305">
        <f t="shared" si="24"/>
        <v>164.13333333333335</v>
      </c>
      <c r="W305">
        <v>165.3</v>
      </c>
      <c r="X305">
        <v>162.5</v>
      </c>
      <c r="Y305">
        <v>160.30000000000001</v>
      </c>
      <c r="Z305">
        <f t="shared" si="25"/>
        <v>162.70000000000002</v>
      </c>
      <c r="AA305">
        <v>170.4</v>
      </c>
      <c r="AB305">
        <v>160.4</v>
      </c>
      <c r="AC305">
        <f t="shared" si="27"/>
        <v>165.4</v>
      </c>
      <c r="AD305">
        <v>157.1</v>
      </c>
      <c r="AE305">
        <v>160.69999999999999</v>
      </c>
      <c r="AF305">
        <f t="shared" si="28"/>
        <v>158.89999999999998</v>
      </c>
      <c r="AG305">
        <v>167.2</v>
      </c>
      <c r="AH305">
        <v>162.80000000000001</v>
      </c>
      <c r="AI305">
        <v>163.19999999999999</v>
      </c>
      <c r="AJ305">
        <f t="shared" si="29"/>
        <v>164.4</v>
      </c>
    </row>
    <row r="306" spans="1:36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f t="shared" si="26"/>
        <v>169.09285714285716</v>
      </c>
      <c r="S306">
        <v>157.9</v>
      </c>
      <c r="T306">
        <v>141.9</v>
      </c>
      <c r="U306">
        <v>155.5</v>
      </c>
      <c r="V306">
        <f t="shared" si="24"/>
        <v>151.76666666666668</v>
      </c>
      <c r="W306">
        <v>167</v>
      </c>
      <c r="X306">
        <v>157.69999999999999</v>
      </c>
      <c r="Y306">
        <v>150.69999999999999</v>
      </c>
      <c r="Z306">
        <f t="shared" si="25"/>
        <v>158.46666666666667</v>
      </c>
      <c r="AA306">
        <v>161.5</v>
      </c>
      <c r="AB306">
        <v>159.6</v>
      </c>
      <c r="AC306">
        <f t="shared" si="27"/>
        <v>160.55000000000001</v>
      </c>
      <c r="AD306">
        <v>149.5</v>
      </c>
      <c r="AE306">
        <v>151.19999999999999</v>
      </c>
      <c r="AF306">
        <f t="shared" si="28"/>
        <v>150.35</v>
      </c>
      <c r="AG306">
        <v>160.30000000000001</v>
      </c>
      <c r="AH306">
        <v>155</v>
      </c>
      <c r="AI306">
        <v>161.80000000000001</v>
      </c>
      <c r="AJ306">
        <f t="shared" si="29"/>
        <v>159.03333333333333</v>
      </c>
    </row>
    <row r="307" spans="1:36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f t="shared" si="26"/>
        <v>167.01428571428571</v>
      </c>
      <c r="S307">
        <v>162.80000000000001</v>
      </c>
      <c r="T307">
        <v>153.1</v>
      </c>
      <c r="U307">
        <v>161.4</v>
      </c>
      <c r="V307">
        <f t="shared" si="24"/>
        <v>159.1</v>
      </c>
      <c r="W307">
        <v>167.5</v>
      </c>
      <c r="X307">
        <v>160.69999999999999</v>
      </c>
      <c r="Y307">
        <v>155.80000000000001</v>
      </c>
      <c r="Z307">
        <f t="shared" si="25"/>
        <v>161.33333333333334</v>
      </c>
      <c r="AA307">
        <v>167</v>
      </c>
      <c r="AB307">
        <v>160.1</v>
      </c>
      <c r="AC307">
        <f t="shared" si="27"/>
        <v>163.55000000000001</v>
      </c>
      <c r="AD307">
        <v>153.1</v>
      </c>
      <c r="AE307">
        <v>155.30000000000001</v>
      </c>
      <c r="AF307">
        <f t="shared" si="28"/>
        <v>154.19999999999999</v>
      </c>
      <c r="AG307">
        <v>163.19999999999999</v>
      </c>
      <c r="AH307">
        <v>159</v>
      </c>
      <c r="AI307">
        <v>162.5</v>
      </c>
      <c r="AJ307">
        <f t="shared" si="29"/>
        <v>161.56666666666666</v>
      </c>
    </row>
    <row r="308" spans="1:36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f t="shared" si="26"/>
        <v>165.78571428571428</v>
      </c>
      <c r="S308">
        <v>167</v>
      </c>
      <c r="T308">
        <v>162.6</v>
      </c>
      <c r="U308">
        <v>166.3</v>
      </c>
      <c r="V308">
        <f t="shared" si="24"/>
        <v>165.3</v>
      </c>
      <c r="W308">
        <v>166.8</v>
      </c>
      <c r="X308">
        <v>163.1</v>
      </c>
      <c r="Y308">
        <v>160.9</v>
      </c>
      <c r="Z308">
        <f t="shared" si="25"/>
        <v>163.6</v>
      </c>
      <c r="AA308">
        <v>171.1</v>
      </c>
      <c r="AB308">
        <v>160.30000000000001</v>
      </c>
      <c r="AC308">
        <f t="shared" si="27"/>
        <v>165.7</v>
      </c>
      <c r="AD308">
        <v>157.69999999999999</v>
      </c>
      <c r="AE308">
        <v>161.1</v>
      </c>
      <c r="AF308">
        <f t="shared" si="28"/>
        <v>159.39999999999998</v>
      </c>
      <c r="AG308">
        <v>167.5</v>
      </c>
      <c r="AH308">
        <v>163.30000000000001</v>
      </c>
      <c r="AI308">
        <v>163.6</v>
      </c>
      <c r="AJ308">
        <f t="shared" si="29"/>
        <v>164.79999999999998</v>
      </c>
    </row>
    <row r="309" spans="1:36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f t="shared" si="26"/>
        <v>168.17142857142858</v>
      </c>
      <c r="S309">
        <v>159.80000000000001</v>
      </c>
      <c r="T309">
        <v>143.6</v>
      </c>
      <c r="U309">
        <v>157.30000000000001</v>
      </c>
      <c r="V309">
        <f t="shared" si="24"/>
        <v>153.56666666666666</v>
      </c>
      <c r="W309">
        <v>167.8</v>
      </c>
      <c r="X309">
        <v>160.69999999999999</v>
      </c>
      <c r="Y309">
        <v>153.19999999999999</v>
      </c>
      <c r="Z309">
        <f t="shared" si="25"/>
        <v>160.56666666666666</v>
      </c>
      <c r="AA309">
        <v>162.80000000000001</v>
      </c>
      <c r="AB309">
        <v>159.6</v>
      </c>
      <c r="AC309">
        <f t="shared" si="27"/>
        <v>161.19999999999999</v>
      </c>
      <c r="AD309">
        <v>150.4</v>
      </c>
      <c r="AE309">
        <v>153.69999999999999</v>
      </c>
      <c r="AF309">
        <f t="shared" si="28"/>
        <v>152.05000000000001</v>
      </c>
      <c r="AG309">
        <v>160.4</v>
      </c>
      <c r="AH309">
        <v>156</v>
      </c>
      <c r="AI309">
        <v>162.30000000000001</v>
      </c>
      <c r="AJ309">
        <f t="shared" si="29"/>
        <v>159.56666666666666</v>
      </c>
    </row>
    <row r="310" spans="1:36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f t="shared" si="26"/>
        <v>166.72142857142856</v>
      </c>
      <c r="S310">
        <v>164.5</v>
      </c>
      <c r="T310">
        <v>155.30000000000001</v>
      </c>
      <c r="U310">
        <v>163.19999999999999</v>
      </c>
      <c r="V310">
        <f t="shared" si="24"/>
        <v>161</v>
      </c>
      <c r="W310">
        <v>169</v>
      </c>
      <c r="X310">
        <v>162.6</v>
      </c>
      <c r="Y310">
        <v>157.5</v>
      </c>
      <c r="Z310">
        <f t="shared" si="25"/>
        <v>163.03333333333333</v>
      </c>
      <c r="AA310">
        <v>168.4</v>
      </c>
      <c r="AB310">
        <v>160</v>
      </c>
      <c r="AC310">
        <f t="shared" si="27"/>
        <v>164.2</v>
      </c>
      <c r="AD310">
        <v>154</v>
      </c>
      <c r="AE310">
        <v>157.6</v>
      </c>
      <c r="AF310">
        <f t="shared" si="28"/>
        <v>155.80000000000001</v>
      </c>
      <c r="AG310">
        <v>163.80000000000001</v>
      </c>
      <c r="AH310">
        <v>160</v>
      </c>
      <c r="AI310">
        <v>163.19999999999999</v>
      </c>
      <c r="AJ310">
        <f t="shared" si="29"/>
        <v>162.33333333333334</v>
      </c>
    </row>
    <row r="311" spans="1:36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f t="shared" si="26"/>
        <v>166.00714285714284</v>
      </c>
      <c r="S311">
        <v>167.7</v>
      </c>
      <c r="T311">
        <v>163.6</v>
      </c>
      <c r="U311">
        <v>167.1</v>
      </c>
      <c r="V311">
        <f t="shared" si="24"/>
        <v>166.13333333333333</v>
      </c>
      <c r="W311">
        <v>169.5</v>
      </c>
      <c r="X311">
        <v>163.69999999999999</v>
      </c>
      <c r="Y311">
        <v>161.30000000000001</v>
      </c>
      <c r="Z311">
        <f t="shared" si="25"/>
        <v>164.83333333333334</v>
      </c>
      <c r="AA311">
        <v>171.9</v>
      </c>
      <c r="AB311">
        <v>160.19999999999999</v>
      </c>
      <c r="AC311">
        <f t="shared" si="27"/>
        <v>166.05</v>
      </c>
      <c r="AD311">
        <v>157.80000000000001</v>
      </c>
      <c r="AE311">
        <v>162.69999999999999</v>
      </c>
      <c r="AF311">
        <f t="shared" si="28"/>
        <v>160.25</v>
      </c>
      <c r="AG311">
        <v>168.5</v>
      </c>
      <c r="AH311">
        <v>163.80000000000001</v>
      </c>
      <c r="AI311">
        <v>164</v>
      </c>
      <c r="AJ311">
        <f t="shared" si="29"/>
        <v>165.43333333333334</v>
      </c>
    </row>
    <row r="312" spans="1:36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f t="shared" si="26"/>
        <v>168.17142857142858</v>
      </c>
      <c r="S312">
        <v>159.80000000000001</v>
      </c>
      <c r="T312">
        <v>143.6</v>
      </c>
      <c r="U312">
        <v>157.4</v>
      </c>
      <c r="V312">
        <f t="shared" si="24"/>
        <v>153.6</v>
      </c>
      <c r="W312">
        <v>171.2</v>
      </c>
      <c r="X312">
        <v>160.80000000000001</v>
      </c>
      <c r="Y312">
        <v>153.30000000000001</v>
      </c>
      <c r="Z312">
        <f t="shared" si="25"/>
        <v>161.76666666666668</v>
      </c>
      <c r="AA312">
        <v>162.80000000000001</v>
      </c>
      <c r="AB312">
        <v>159.6</v>
      </c>
      <c r="AC312">
        <f t="shared" si="27"/>
        <v>161.19999999999999</v>
      </c>
      <c r="AD312">
        <v>150.5</v>
      </c>
      <c r="AE312">
        <v>153.9</v>
      </c>
      <c r="AF312">
        <f t="shared" si="28"/>
        <v>152.19999999999999</v>
      </c>
      <c r="AG312">
        <v>160.30000000000001</v>
      </c>
      <c r="AH312">
        <v>156</v>
      </c>
      <c r="AI312">
        <v>162.30000000000001</v>
      </c>
      <c r="AJ312">
        <f t="shared" si="29"/>
        <v>159.53333333333333</v>
      </c>
    </row>
    <row r="313" spans="1:36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f t="shared" si="26"/>
        <v>166.72142857142856</v>
      </c>
      <c r="S313">
        <v>164.6</v>
      </c>
      <c r="T313">
        <v>155.30000000000001</v>
      </c>
      <c r="U313">
        <v>163.30000000000001</v>
      </c>
      <c r="V313">
        <f t="shared" si="24"/>
        <v>161.06666666666666</v>
      </c>
      <c r="W313">
        <v>171.8</v>
      </c>
      <c r="X313">
        <v>162.6</v>
      </c>
      <c r="Y313">
        <v>157.5</v>
      </c>
      <c r="Z313">
        <f t="shared" si="25"/>
        <v>163.96666666666667</v>
      </c>
      <c r="AA313">
        <v>168.4</v>
      </c>
      <c r="AB313">
        <v>160</v>
      </c>
      <c r="AC313">
        <f t="shared" si="27"/>
        <v>164.2</v>
      </c>
      <c r="AD313">
        <v>154</v>
      </c>
      <c r="AE313">
        <v>157.69999999999999</v>
      </c>
      <c r="AF313">
        <f t="shared" si="28"/>
        <v>155.85</v>
      </c>
      <c r="AG313">
        <v>163.69999999999999</v>
      </c>
      <c r="AH313">
        <v>160</v>
      </c>
      <c r="AI313">
        <v>163.19999999999999</v>
      </c>
      <c r="AJ313">
        <f t="shared" si="29"/>
        <v>162.29999999999998</v>
      </c>
    </row>
    <row r="314" spans="1:36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f t="shared" si="26"/>
        <v>168.2428571428571</v>
      </c>
      <c r="S314">
        <v>168.9</v>
      </c>
      <c r="T314">
        <v>164.8</v>
      </c>
      <c r="U314">
        <v>168.3</v>
      </c>
      <c r="V314">
        <f t="shared" si="24"/>
        <v>167.33333333333334</v>
      </c>
      <c r="W314">
        <v>170.7</v>
      </c>
      <c r="X314">
        <v>165.5</v>
      </c>
      <c r="Y314">
        <v>162</v>
      </c>
      <c r="Z314">
        <f t="shared" si="25"/>
        <v>166.06666666666666</v>
      </c>
      <c r="AA314">
        <v>172.5</v>
      </c>
      <c r="AB314">
        <v>161.1</v>
      </c>
      <c r="AC314">
        <f t="shared" si="27"/>
        <v>166.8</v>
      </c>
      <c r="AD314">
        <v>159.5</v>
      </c>
      <c r="AE314">
        <v>163.19999999999999</v>
      </c>
      <c r="AF314">
        <f t="shared" si="28"/>
        <v>161.35</v>
      </c>
      <c r="AG314">
        <v>169</v>
      </c>
      <c r="AH314">
        <v>164.7</v>
      </c>
      <c r="AI314">
        <v>166.3</v>
      </c>
      <c r="AJ314">
        <f t="shared" si="29"/>
        <v>166.66666666666666</v>
      </c>
    </row>
    <row r="315" spans="1:36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f t="shared" si="26"/>
        <v>171.10000000000005</v>
      </c>
      <c r="S315">
        <v>160.80000000000001</v>
      </c>
      <c r="T315">
        <v>144.4</v>
      </c>
      <c r="U315">
        <v>158.30000000000001</v>
      </c>
      <c r="V315">
        <f t="shared" si="24"/>
        <v>154.50000000000003</v>
      </c>
      <c r="W315">
        <v>172.1</v>
      </c>
      <c r="X315">
        <v>162.19999999999999</v>
      </c>
      <c r="Y315">
        <v>154.30000000000001</v>
      </c>
      <c r="Z315">
        <f t="shared" si="25"/>
        <v>162.86666666666665</v>
      </c>
      <c r="AA315">
        <v>163.5</v>
      </c>
      <c r="AB315">
        <v>160.30000000000001</v>
      </c>
      <c r="AC315">
        <f t="shared" si="27"/>
        <v>161.9</v>
      </c>
      <c r="AD315">
        <v>152.19999999999999</v>
      </c>
      <c r="AE315">
        <v>155.1</v>
      </c>
      <c r="AF315">
        <f t="shared" si="28"/>
        <v>153.64999999999998</v>
      </c>
      <c r="AG315">
        <v>160.30000000000001</v>
      </c>
      <c r="AH315">
        <v>157</v>
      </c>
      <c r="AI315">
        <v>164.6</v>
      </c>
      <c r="AJ315">
        <f t="shared" si="29"/>
        <v>160.63333333333333</v>
      </c>
    </row>
    <row r="316" spans="1:36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f t="shared" si="26"/>
        <v>169.15714285714284</v>
      </c>
      <c r="S316">
        <v>165.7</v>
      </c>
      <c r="T316">
        <v>156.30000000000001</v>
      </c>
      <c r="U316">
        <v>164.3</v>
      </c>
      <c r="V316">
        <f t="shared" si="24"/>
        <v>162.1</v>
      </c>
      <c r="W316">
        <v>173.5</v>
      </c>
      <c r="X316">
        <v>164.2</v>
      </c>
      <c r="Y316">
        <v>158.4</v>
      </c>
      <c r="Z316">
        <f t="shared" si="25"/>
        <v>165.36666666666667</v>
      </c>
      <c r="AA316">
        <v>169.1</v>
      </c>
      <c r="AB316">
        <v>160.80000000000001</v>
      </c>
      <c r="AC316">
        <f t="shared" si="27"/>
        <v>164.95</v>
      </c>
      <c r="AD316">
        <v>155.69999999999999</v>
      </c>
      <c r="AE316">
        <v>158.6</v>
      </c>
      <c r="AF316">
        <f t="shared" si="28"/>
        <v>157.14999999999998</v>
      </c>
      <c r="AG316">
        <v>163.9</v>
      </c>
      <c r="AH316">
        <v>161</v>
      </c>
      <c r="AI316">
        <v>165.5</v>
      </c>
      <c r="AJ316">
        <f t="shared" si="29"/>
        <v>163.46666666666667</v>
      </c>
    </row>
    <row r="317" spans="1:36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f t="shared" si="26"/>
        <v>169.52857142857144</v>
      </c>
      <c r="S317">
        <v>170.4</v>
      </c>
      <c r="T317">
        <v>166</v>
      </c>
      <c r="U317">
        <v>169.8</v>
      </c>
      <c r="V317">
        <f t="shared" si="24"/>
        <v>168.73333333333332</v>
      </c>
      <c r="W317">
        <v>173.5</v>
      </c>
      <c r="X317">
        <v>165.3</v>
      </c>
      <c r="Y317">
        <v>162.9</v>
      </c>
      <c r="Z317">
        <f t="shared" si="25"/>
        <v>167.23333333333335</v>
      </c>
      <c r="AA317">
        <v>173.4</v>
      </c>
      <c r="AB317">
        <v>162.4</v>
      </c>
      <c r="AC317">
        <f t="shared" si="27"/>
        <v>167.9</v>
      </c>
      <c r="AD317">
        <v>158.9</v>
      </c>
      <c r="AE317">
        <v>163.80000000000001</v>
      </c>
      <c r="AF317">
        <f t="shared" si="28"/>
        <v>161.35000000000002</v>
      </c>
      <c r="AG317">
        <v>169.3</v>
      </c>
      <c r="AH317">
        <v>165.2</v>
      </c>
      <c r="AI317">
        <v>167.6</v>
      </c>
      <c r="AJ317">
        <f t="shared" si="29"/>
        <v>167.36666666666667</v>
      </c>
    </row>
    <row r="318" spans="1:36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f t="shared" si="26"/>
        <v>172.4928571428571</v>
      </c>
      <c r="S318">
        <v>162.30000000000001</v>
      </c>
      <c r="T318">
        <v>145.30000000000001</v>
      </c>
      <c r="U318">
        <v>159.69999999999999</v>
      </c>
      <c r="V318">
        <f t="shared" si="24"/>
        <v>155.76666666666668</v>
      </c>
      <c r="W318">
        <v>175.2</v>
      </c>
      <c r="X318">
        <v>161.6</v>
      </c>
      <c r="Y318">
        <v>155.19999999999999</v>
      </c>
      <c r="Z318">
        <f t="shared" si="25"/>
        <v>163.99999999999997</v>
      </c>
      <c r="AA318">
        <v>164.2</v>
      </c>
      <c r="AB318">
        <v>161.80000000000001</v>
      </c>
      <c r="AC318">
        <f t="shared" si="27"/>
        <v>163</v>
      </c>
      <c r="AD318">
        <v>151.19999999999999</v>
      </c>
      <c r="AE318">
        <v>156.69999999999999</v>
      </c>
      <c r="AF318">
        <f t="shared" si="28"/>
        <v>153.94999999999999</v>
      </c>
      <c r="AG318">
        <v>160.80000000000001</v>
      </c>
      <c r="AH318">
        <v>157.30000000000001</v>
      </c>
      <c r="AI318">
        <v>165.6</v>
      </c>
      <c r="AJ318">
        <f t="shared" si="29"/>
        <v>161.23333333333335</v>
      </c>
    </row>
    <row r="319" spans="1:36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f t="shared" si="26"/>
        <v>170.5</v>
      </c>
      <c r="S319">
        <v>167.2</v>
      </c>
      <c r="T319">
        <v>157.4</v>
      </c>
      <c r="U319">
        <v>165.8</v>
      </c>
      <c r="V319">
        <f t="shared" si="24"/>
        <v>163.46666666666667</v>
      </c>
      <c r="W319">
        <v>175.6</v>
      </c>
      <c r="X319">
        <v>163.9</v>
      </c>
      <c r="Y319">
        <v>159.30000000000001</v>
      </c>
      <c r="Z319">
        <f t="shared" si="25"/>
        <v>166.26666666666668</v>
      </c>
      <c r="AA319">
        <v>169.9</v>
      </c>
      <c r="AB319">
        <v>162.19999999999999</v>
      </c>
      <c r="AC319">
        <f t="shared" si="27"/>
        <v>166.05</v>
      </c>
      <c r="AD319">
        <v>154.80000000000001</v>
      </c>
      <c r="AE319">
        <v>159.80000000000001</v>
      </c>
      <c r="AF319">
        <f t="shared" si="28"/>
        <v>157.30000000000001</v>
      </c>
      <c r="AG319">
        <v>164.3</v>
      </c>
      <c r="AH319">
        <v>161.4</v>
      </c>
      <c r="AI319">
        <v>166.7</v>
      </c>
      <c r="AJ319">
        <f t="shared" si="29"/>
        <v>164.13333333333335</v>
      </c>
    </row>
    <row r="320" spans="1:36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f t="shared" si="26"/>
        <v>168.5</v>
      </c>
      <c r="S320">
        <v>171.8</v>
      </c>
      <c r="T320">
        <v>167.3</v>
      </c>
      <c r="U320">
        <v>171.2</v>
      </c>
      <c r="V320">
        <f t="shared" si="24"/>
        <v>170.1</v>
      </c>
      <c r="W320">
        <v>139.2560976</v>
      </c>
      <c r="X320">
        <v>165.6</v>
      </c>
      <c r="Y320">
        <v>163.9</v>
      </c>
      <c r="Z320">
        <f t="shared" si="25"/>
        <v>156.25203253333333</v>
      </c>
      <c r="AA320">
        <v>174</v>
      </c>
      <c r="AB320">
        <v>162.80000000000001</v>
      </c>
      <c r="AC320">
        <f t="shared" si="27"/>
        <v>168.4</v>
      </c>
      <c r="AD320">
        <v>160.1</v>
      </c>
      <c r="AE320">
        <v>164.5</v>
      </c>
      <c r="AF320">
        <f t="shared" si="28"/>
        <v>162.30000000000001</v>
      </c>
      <c r="AG320">
        <v>169.7</v>
      </c>
      <c r="AH320">
        <v>166</v>
      </c>
      <c r="AI320">
        <v>167</v>
      </c>
      <c r="AJ320">
        <f t="shared" si="29"/>
        <v>167.56666666666666</v>
      </c>
    </row>
    <row r="321" spans="1:36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f t="shared" si="26"/>
        <v>171.65000000000003</v>
      </c>
      <c r="S321">
        <v>163.30000000000001</v>
      </c>
      <c r="T321">
        <v>146.69999999999999</v>
      </c>
      <c r="U321">
        <v>160.69999999999999</v>
      </c>
      <c r="V321">
        <f t="shared" si="24"/>
        <v>156.9</v>
      </c>
      <c r="W321" t="s">
        <v>148</v>
      </c>
      <c r="X321">
        <v>161.69999999999999</v>
      </c>
      <c r="Y321">
        <v>156</v>
      </c>
      <c r="Z321">
        <f t="shared" si="25"/>
        <v>158.85</v>
      </c>
      <c r="AA321">
        <v>165.1</v>
      </c>
      <c r="AB321">
        <v>162.4</v>
      </c>
      <c r="AC321">
        <f t="shared" si="27"/>
        <v>163.75</v>
      </c>
      <c r="AD321">
        <v>151.80000000000001</v>
      </c>
      <c r="AE321">
        <v>157.6</v>
      </c>
      <c r="AF321">
        <f t="shared" si="28"/>
        <v>154.69999999999999</v>
      </c>
      <c r="AG321">
        <v>160.6</v>
      </c>
      <c r="AH321">
        <v>157.80000000000001</v>
      </c>
      <c r="AI321">
        <v>165.2</v>
      </c>
      <c r="AJ321">
        <f t="shared" si="29"/>
        <v>161.19999999999999</v>
      </c>
    </row>
    <row r="322" spans="1:36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f t="shared" si="26"/>
        <v>169.52142857142857</v>
      </c>
      <c r="S322">
        <v>168.5</v>
      </c>
      <c r="T322">
        <v>158.69999999999999</v>
      </c>
      <c r="U322">
        <v>167</v>
      </c>
      <c r="V322">
        <f t="shared" ref="V322" si="30">AVERAGE(S322:U322)</f>
        <v>164.73333333333332</v>
      </c>
      <c r="W322">
        <v>159.80000000000001</v>
      </c>
      <c r="X322">
        <v>164.1</v>
      </c>
      <c r="Y322">
        <v>160.19999999999999</v>
      </c>
      <c r="Z322">
        <f t="shared" ref="Z322:Z373" si="31">AVERAGE(W322:Y322)</f>
        <v>161.36666666666665</v>
      </c>
      <c r="AA322">
        <v>170.6</v>
      </c>
      <c r="AB322">
        <v>162.6</v>
      </c>
      <c r="AC322">
        <f t="shared" si="27"/>
        <v>166.6</v>
      </c>
      <c r="AD322">
        <v>155.69999999999999</v>
      </c>
      <c r="AE322">
        <v>160.6</v>
      </c>
      <c r="AF322">
        <f t="shared" si="28"/>
        <v>158.14999999999998</v>
      </c>
      <c r="AG322">
        <v>164.4</v>
      </c>
      <c r="AH322">
        <v>162</v>
      </c>
      <c r="AI322">
        <v>166.2</v>
      </c>
      <c r="AJ322">
        <f t="shared" si="29"/>
        <v>164.2</v>
      </c>
    </row>
    <row r="323" spans="1:36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f t="shared" ref="R323:R373" si="32">AVERAGE(D323:Q323)</f>
        <v>167.40714285714284</v>
      </c>
      <c r="S323">
        <v>173.2</v>
      </c>
      <c r="T323">
        <v>169.3</v>
      </c>
      <c r="U323">
        <v>172.7</v>
      </c>
      <c r="V323">
        <f t="shared" ref="V323:V373" si="33">AVERAGE(S323:U323)</f>
        <v>171.73333333333335</v>
      </c>
      <c r="W323">
        <v>161.6</v>
      </c>
      <c r="X323">
        <v>165.8</v>
      </c>
      <c r="Y323">
        <v>164.9</v>
      </c>
      <c r="Z323">
        <f t="shared" si="31"/>
        <v>164.1</v>
      </c>
      <c r="AA323">
        <v>174.7</v>
      </c>
      <c r="AB323">
        <v>163.19999999999999</v>
      </c>
      <c r="AC323">
        <f t="shared" ref="AC323:AC373" si="34">AVERAGE(AA323:AB323)</f>
        <v>168.95</v>
      </c>
      <c r="AD323">
        <v>160.80000000000001</v>
      </c>
      <c r="AE323">
        <v>164.9</v>
      </c>
      <c r="AF323">
        <f t="shared" ref="AF323:AF373" si="35">AVERAGE(AD323:AE323)</f>
        <v>162.85000000000002</v>
      </c>
      <c r="AG323">
        <v>169.9</v>
      </c>
      <c r="AH323">
        <v>166.6</v>
      </c>
      <c r="AI323">
        <v>166.4</v>
      </c>
      <c r="AJ323">
        <f t="shared" ref="AJ323:AJ373" si="36">AVERAGE(AG323:AI323)</f>
        <v>167.63333333333333</v>
      </c>
    </row>
    <row r="324" spans="1:36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f t="shared" si="32"/>
        <v>170.22142857142856</v>
      </c>
      <c r="S324">
        <v>164.7</v>
      </c>
      <c r="T324">
        <v>148.5</v>
      </c>
      <c r="U324">
        <v>162.19999999999999</v>
      </c>
      <c r="V324">
        <f t="shared" si="33"/>
        <v>158.46666666666667</v>
      </c>
      <c r="W324">
        <v>162.1</v>
      </c>
      <c r="X324">
        <v>161.6</v>
      </c>
      <c r="Y324">
        <v>156.80000000000001</v>
      </c>
      <c r="Z324">
        <f t="shared" si="31"/>
        <v>160.16666666666666</v>
      </c>
      <c r="AA324">
        <v>166.1</v>
      </c>
      <c r="AB324">
        <v>162.80000000000001</v>
      </c>
      <c r="AC324">
        <f t="shared" si="34"/>
        <v>164.45</v>
      </c>
      <c r="AD324">
        <v>152.69999999999999</v>
      </c>
      <c r="AE324">
        <v>158.4</v>
      </c>
      <c r="AF324">
        <f t="shared" si="35"/>
        <v>155.55000000000001</v>
      </c>
      <c r="AG324">
        <v>161</v>
      </c>
      <c r="AH324">
        <v>158.6</v>
      </c>
      <c r="AI324">
        <v>165</v>
      </c>
      <c r="AJ324">
        <f t="shared" si="36"/>
        <v>161.53333333333333</v>
      </c>
    </row>
    <row r="325" spans="1:36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f t="shared" si="32"/>
        <v>168.31428571428569</v>
      </c>
      <c r="S325">
        <v>169.9</v>
      </c>
      <c r="T325">
        <v>160.69999999999999</v>
      </c>
      <c r="U325">
        <v>168.5</v>
      </c>
      <c r="V325">
        <f t="shared" si="33"/>
        <v>166.36666666666667</v>
      </c>
      <c r="W325">
        <v>164.2</v>
      </c>
      <c r="X325">
        <v>164.2</v>
      </c>
      <c r="Y325">
        <v>161.1</v>
      </c>
      <c r="Z325">
        <f t="shared" si="31"/>
        <v>163.16666666666666</v>
      </c>
      <c r="AA325">
        <v>171.4</v>
      </c>
      <c r="AB325">
        <v>163</v>
      </c>
      <c r="AC325">
        <f t="shared" si="34"/>
        <v>167.2</v>
      </c>
      <c r="AD325">
        <v>156.5</v>
      </c>
      <c r="AE325">
        <v>161.19999999999999</v>
      </c>
      <c r="AF325">
        <f t="shared" si="35"/>
        <v>158.85</v>
      </c>
      <c r="AG325">
        <v>164.7</v>
      </c>
      <c r="AH325">
        <v>162.69999999999999</v>
      </c>
      <c r="AI325">
        <v>165.7</v>
      </c>
      <c r="AJ325">
        <f t="shared" si="36"/>
        <v>164.36666666666665</v>
      </c>
    </row>
    <row r="326" spans="1:36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f t="shared" si="32"/>
        <v>167.27857142857144</v>
      </c>
      <c r="S326">
        <v>174.1</v>
      </c>
      <c r="T326">
        <v>171</v>
      </c>
      <c r="U326">
        <v>173.7</v>
      </c>
      <c r="V326">
        <f t="shared" si="33"/>
        <v>172.93333333333331</v>
      </c>
      <c r="W326">
        <v>165.5</v>
      </c>
      <c r="X326">
        <v>167.4</v>
      </c>
      <c r="Y326">
        <v>165.7</v>
      </c>
      <c r="Z326">
        <f t="shared" si="31"/>
        <v>166.2</v>
      </c>
      <c r="AA326">
        <v>175.3</v>
      </c>
      <c r="AB326">
        <v>164.5</v>
      </c>
      <c r="AC326">
        <f t="shared" si="34"/>
        <v>169.9</v>
      </c>
      <c r="AD326">
        <v>161.19999999999999</v>
      </c>
      <c r="AE326">
        <v>165.5</v>
      </c>
      <c r="AF326">
        <f t="shared" si="35"/>
        <v>163.35</v>
      </c>
      <c r="AG326">
        <v>170.3</v>
      </c>
      <c r="AH326">
        <v>167.3</v>
      </c>
      <c r="AI326">
        <v>166.7</v>
      </c>
      <c r="AJ326">
        <f t="shared" si="36"/>
        <v>168.1</v>
      </c>
    </row>
    <row r="327" spans="1:36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f t="shared" si="32"/>
        <v>170</v>
      </c>
      <c r="S327">
        <v>165.7</v>
      </c>
      <c r="T327">
        <v>150.4</v>
      </c>
      <c r="U327">
        <v>163.4</v>
      </c>
      <c r="V327">
        <f t="shared" si="33"/>
        <v>159.83333333333334</v>
      </c>
      <c r="W327">
        <v>167.5</v>
      </c>
      <c r="X327">
        <v>163</v>
      </c>
      <c r="Y327">
        <v>157.4</v>
      </c>
      <c r="Z327">
        <f t="shared" si="31"/>
        <v>162.63333333333333</v>
      </c>
      <c r="AA327">
        <v>167.2</v>
      </c>
      <c r="AB327">
        <v>164.2</v>
      </c>
      <c r="AC327">
        <f t="shared" si="34"/>
        <v>165.7</v>
      </c>
      <c r="AD327">
        <v>153.1</v>
      </c>
      <c r="AE327">
        <v>159.5</v>
      </c>
      <c r="AF327">
        <f t="shared" si="35"/>
        <v>156.30000000000001</v>
      </c>
      <c r="AG327">
        <v>162</v>
      </c>
      <c r="AH327">
        <v>159.4</v>
      </c>
      <c r="AI327">
        <v>165.5</v>
      </c>
      <c r="AJ327">
        <f t="shared" si="36"/>
        <v>162.29999999999998</v>
      </c>
    </row>
    <row r="328" spans="1:36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f t="shared" si="32"/>
        <v>168.14285714285717</v>
      </c>
      <c r="S328">
        <v>170.8</v>
      </c>
      <c r="T328">
        <v>162.4</v>
      </c>
      <c r="U328">
        <v>169.6</v>
      </c>
      <c r="V328">
        <f t="shared" si="33"/>
        <v>167.60000000000002</v>
      </c>
      <c r="W328">
        <v>169</v>
      </c>
      <c r="X328">
        <v>165.7</v>
      </c>
      <c r="Y328">
        <v>161.80000000000001</v>
      </c>
      <c r="Z328">
        <f t="shared" si="31"/>
        <v>165.5</v>
      </c>
      <c r="AA328">
        <v>172.2</v>
      </c>
      <c r="AB328">
        <v>164.4</v>
      </c>
      <c r="AC328">
        <f t="shared" si="34"/>
        <v>168.3</v>
      </c>
      <c r="AD328">
        <v>156.9</v>
      </c>
      <c r="AE328">
        <v>162.1</v>
      </c>
      <c r="AF328">
        <f t="shared" si="35"/>
        <v>159.5</v>
      </c>
      <c r="AG328">
        <v>165.4</v>
      </c>
      <c r="AH328">
        <v>163.5</v>
      </c>
      <c r="AI328">
        <v>166.1</v>
      </c>
      <c r="AJ328">
        <f t="shared" si="36"/>
        <v>165</v>
      </c>
    </row>
    <row r="329" spans="1:36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f t="shared" si="32"/>
        <v>169.38571428571433</v>
      </c>
      <c r="S329">
        <v>175.4</v>
      </c>
      <c r="T329">
        <v>173.2</v>
      </c>
      <c r="U329">
        <v>175.1</v>
      </c>
      <c r="V329">
        <f t="shared" si="33"/>
        <v>174.56666666666669</v>
      </c>
      <c r="W329">
        <v>171.8</v>
      </c>
      <c r="X329">
        <v>168.9</v>
      </c>
      <c r="Y329">
        <v>166.5</v>
      </c>
      <c r="Z329">
        <f t="shared" si="31"/>
        <v>169.06666666666669</v>
      </c>
      <c r="AA329">
        <v>176</v>
      </c>
      <c r="AB329">
        <v>167.4</v>
      </c>
      <c r="AC329">
        <f t="shared" si="34"/>
        <v>171.7</v>
      </c>
      <c r="AD329">
        <v>162</v>
      </c>
      <c r="AE329">
        <v>166.6</v>
      </c>
      <c r="AF329">
        <f t="shared" si="35"/>
        <v>164.3</v>
      </c>
      <c r="AG329">
        <v>170.6</v>
      </c>
      <c r="AH329">
        <v>168.3</v>
      </c>
      <c r="AI329">
        <v>168.7</v>
      </c>
      <c r="AJ329">
        <f t="shared" si="36"/>
        <v>169.2</v>
      </c>
    </row>
    <row r="330" spans="1:36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f t="shared" si="32"/>
        <v>170.98571428571429</v>
      </c>
      <c r="S330">
        <v>167.1</v>
      </c>
      <c r="T330">
        <v>152.6</v>
      </c>
      <c r="U330">
        <v>164.9</v>
      </c>
      <c r="V330">
        <f t="shared" si="33"/>
        <v>161.53333333333333</v>
      </c>
      <c r="W330">
        <v>173.5</v>
      </c>
      <c r="X330">
        <v>164.5</v>
      </c>
      <c r="Y330">
        <v>158.6</v>
      </c>
      <c r="Z330">
        <f t="shared" si="31"/>
        <v>165.53333333333333</v>
      </c>
      <c r="AA330">
        <v>168.2</v>
      </c>
      <c r="AB330">
        <v>166.8</v>
      </c>
      <c r="AC330">
        <f t="shared" si="34"/>
        <v>167.5</v>
      </c>
      <c r="AD330">
        <v>154.19999999999999</v>
      </c>
      <c r="AE330">
        <v>160.80000000000001</v>
      </c>
      <c r="AF330">
        <f t="shared" si="35"/>
        <v>157.5</v>
      </c>
      <c r="AG330">
        <v>162.69999999999999</v>
      </c>
      <c r="AH330">
        <v>160.6</v>
      </c>
      <c r="AI330">
        <v>166.5</v>
      </c>
      <c r="AJ330">
        <f t="shared" si="36"/>
        <v>163.26666666666665</v>
      </c>
    </row>
    <row r="331" spans="1:36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f t="shared" si="32"/>
        <v>169.85</v>
      </c>
      <c r="S331">
        <v>172.1</v>
      </c>
      <c r="T331">
        <v>164.6</v>
      </c>
      <c r="U331">
        <v>171.1</v>
      </c>
      <c r="V331">
        <f t="shared" si="33"/>
        <v>169.26666666666665</v>
      </c>
      <c r="W331">
        <v>175.6</v>
      </c>
      <c r="X331">
        <v>167.2</v>
      </c>
      <c r="Y331">
        <v>162.80000000000001</v>
      </c>
      <c r="Z331">
        <f t="shared" si="31"/>
        <v>168.53333333333333</v>
      </c>
      <c r="AA331">
        <v>173</v>
      </c>
      <c r="AB331">
        <v>167.2</v>
      </c>
      <c r="AC331">
        <f t="shared" si="34"/>
        <v>170.1</v>
      </c>
      <c r="AD331">
        <v>157.9</v>
      </c>
      <c r="AE331">
        <v>163.30000000000001</v>
      </c>
      <c r="AF331">
        <f t="shared" si="35"/>
        <v>160.60000000000002</v>
      </c>
      <c r="AG331">
        <v>166</v>
      </c>
      <c r="AH331">
        <v>164.6</v>
      </c>
      <c r="AI331">
        <v>167.7</v>
      </c>
      <c r="AJ331">
        <f t="shared" si="36"/>
        <v>166.1</v>
      </c>
    </row>
    <row r="332" spans="1:36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f t="shared" si="32"/>
        <v>171.3857142857143</v>
      </c>
      <c r="S332">
        <v>177.5</v>
      </c>
      <c r="T332">
        <v>175.1</v>
      </c>
      <c r="U332">
        <v>177.1</v>
      </c>
      <c r="V332">
        <f t="shared" si="33"/>
        <v>176.56666666666669</v>
      </c>
      <c r="W332">
        <v>163.4</v>
      </c>
      <c r="X332">
        <v>173.3</v>
      </c>
      <c r="Y332">
        <v>167.7</v>
      </c>
      <c r="Z332">
        <f t="shared" si="31"/>
        <v>168.13333333333335</v>
      </c>
      <c r="AA332">
        <v>177</v>
      </c>
      <c r="AB332">
        <v>169</v>
      </c>
      <c r="AC332">
        <f t="shared" si="34"/>
        <v>173</v>
      </c>
      <c r="AD332">
        <v>166.2</v>
      </c>
      <c r="AE332">
        <v>167.2</v>
      </c>
      <c r="AF332">
        <f t="shared" si="35"/>
        <v>166.7</v>
      </c>
      <c r="AG332">
        <v>170.9</v>
      </c>
      <c r="AH332">
        <v>170.2</v>
      </c>
      <c r="AI332">
        <v>170.8</v>
      </c>
      <c r="AJ332">
        <f t="shared" si="36"/>
        <v>170.63333333333335</v>
      </c>
    </row>
    <row r="333" spans="1:36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f t="shared" si="32"/>
        <v>173.39285714285714</v>
      </c>
      <c r="S333">
        <v>168.4</v>
      </c>
      <c r="T333">
        <v>154.5</v>
      </c>
      <c r="U333">
        <v>166.3</v>
      </c>
      <c r="V333">
        <f t="shared" si="33"/>
        <v>163.06666666666666</v>
      </c>
      <c r="W333">
        <v>164.5</v>
      </c>
      <c r="X333">
        <v>170.5</v>
      </c>
      <c r="Y333">
        <v>159.80000000000001</v>
      </c>
      <c r="Z333">
        <f t="shared" si="31"/>
        <v>164.93333333333334</v>
      </c>
      <c r="AA333">
        <v>169</v>
      </c>
      <c r="AB333">
        <v>168.4</v>
      </c>
      <c r="AC333">
        <f t="shared" si="34"/>
        <v>168.7</v>
      </c>
      <c r="AD333">
        <v>159.30000000000001</v>
      </c>
      <c r="AE333">
        <v>162.19999999999999</v>
      </c>
      <c r="AF333">
        <f t="shared" si="35"/>
        <v>160.75</v>
      </c>
      <c r="AG333">
        <v>164</v>
      </c>
      <c r="AH333">
        <v>163.1</v>
      </c>
      <c r="AI333">
        <v>169.2</v>
      </c>
      <c r="AJ333">
        <f t="shared" si="36"/>
        <v>165.43333333333334</v>
      </c>
    </row>
    <row r="334" spans="1:36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f t="shared" si="32"/>
        <v>172.01428571428573</v>
      </c>
      <c r="S334">
        <v>173.9</v>
      </c>
      <c r="T334">
        <v>166.5</v>
      </c>
      <c r="U334">
        <v>172.8</v>
      </c>
      <c r="V334">
        <f t="shared" si="33"/>
        <v>171.06666666666669</v>
      </c>
      <c r="W334">
        <v>165.5</v>
      </c>
      <c r="X334">
        <v>172.2</v>
      </c>
      <c r="Y334">
        <v>164</v>
      </c>
      <c r="Z334">
        <f t="shared" si="31"/>
        <v>167.23333333333332</v>
      </c>
      <c r="AA334">
        <v>174</v>
      </c>
      <c r="AB334">
        <v>168.8</v>
      </c>
      <c r="AC334">
        <f t="shared" si="34"/>
        <v>171.4</v>
      </c>
      <c r="AD334">
        <v>162.6</v>
      </c>
      <c r="AE334">
        <v>164.4</v>
      </c>
      <c r="AF334">
        <f t="shared" si="35"/>
        <v>163.5</v>
      </c>
      <c r="AG334">
        <v>166.9</v>
      </c>
      <c r="AH334">
        <v>166.8</v>
      </c>
      <c r="AI334">
        <v>170.1</v>
      </c>
      <c r="AJ334">
        <f t="shared" si="36"/>
        <v>167.93333333333337</v>
      </c>
    </row>
    <row r="335" spans="1:36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f t="shared" si="32"/>
        <v>172.83571428571432</v>
      </c>
      <c r="S335">
        <v>179.3</v>
      </c>
      <c r="T335">
        <v>177.2</v>
      </c>
      <c r="U335">
        <v>179</v>
      </c>
      <c r="V335">
        <f t="shared" si="33"/>
        <v>178.5</v>
      </c>
      <c r="W335">
        <v>165.3</v>
      </c>
      <c r="X335">
        <v>175.3</v>
      </c>
      <c r="Y335">
        <v>168.9</v>
      </c>
      <c r="Z335">
        <f t="shared" si="31"/>
        <v>169.83333333333334</v>
      </c>
      <c r="AA335">
        <v>177.7</v>
      </c>
      <c r="AB335">
        <v>168.5</v>
      </c>
      <c r="AC335">
        <f t="shared" si="34"/>
        <v>173.1</v>
      </c>
      <c r="AD335">
        <v>167.1</v>
      </c>
      <c r="AE335">
        <v>167.6</v>
      </c>
      <c r="AF335">
        <f t="shared" si="35"/>
        <v>167.35</v>
      </c>
      <c r="AG335">
        <v>171.8</v>
      </c>
      <c r="AH335">
        <v>170.9</v>
      </c>
      <c r="AI335">
        <v>172.5</v>
      </c>
      <c r="AJ335">
        <f t="shared" si="36"/>
        <v>171.73333333333335</v>
      </c>
    </row>
    <row r="336" spans="1:36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f t="shared" si="32"/>
        <v>175.69285714285715</v>
      </c>
      <c r="S336">
        <v>170</v>
      </c>
      <c r="T336">
        <v>155.9</v>
      </c>
      <c r="U336">
        <v>167.8</v>
      </c>
      <c r="V336">
        <f t="shared" si="33"/>
        <v>164.56666666666666</v>
      </c>
      <c r="W336">
        <v>167</v>
      </c>
      <c r="X336">
        <v>173.5</v>
      </c>
      <c r="Y336">
        <v>161.1</v>
      </c>
      <c r="Z336">
        <f t="shared" si="31"/>
        <v>167.20000000000002</v>
      </c>
      <c r="AA336">
        <v>170.1</v>
      </c>
      <c r="AB336">
        <v>168.2</v>
      </c>
      <c r="AC336">
        <f t="shared" si="34"/>
        <v>169.14999999999998</v>
      </c>
      <c r="AD336">
        <v>159.4</v>
      </c>
      <c r="AE336">
        <v>163.19999999999999</v>
      </c>
      <c r="AF336">
        <f t="shared" si="35"/>
        <v>161.30000000000001</v>
      </c>
      <c r="AG336">
        <v>165.2</v>
      </c>
      <c r="AH336">
        <v>163.80000000000001</v>
      </c>
      <c r="AI336">
        <v>170.8</v>
      </c>
      <c r="AJ336">
        <f t="shared" si="36"/>
        <v>166.6</v>
      </c>
    </row>
    <row r="337" spans="1:36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f t="shared" si="32"/>
        <v>173.78571428571431</v>
      </c>
      <c r="S337">
        <v>175.6</v>
      </c>
      <c r="T337">
        <v>168.4</v>
      </c>
      <c r="U337">
        <v>174.6</v>
      </c>
      <c r="V337">
        <f t="shared" si="33"/>
        <v>172.86666666666667</v>
      </c>
      <c r="W337">
        <v>167.5</v>
      </c>
      <c r="X337">
        <v>174.6</v>
      </c>
      <c r="Y337">
        <v>165.2</v>
      </c>
      <c r="Z337">
        <f t="shared" si="31"/>
        <v>169.1</v>
      </c>
      <c r="AA337">
        <v>174.8</v>
      </c>
      <c r="AB337">
        <v>168.4</v>
      </c>
      <c r="AC337">
        <f t="shared" si="34"/>
        <v>171.60000000000002</v>
      </c>
      <c r="AD337">
        <v>163</v>
      </c>
      <c r="AE337">
        <v>165.1</v>
      </c>
      <c r="AF337">
        <f t="shared" si="35"/>
        <v>164.05</v>
      </c>
      <c r="AG337">
        <v>167.9</v>
      </c>
      <c r="AH337">
        <v>167.5</v>
      </c>
      <c r="AI337">
        <v>171.7</v>
      </c>
      <c r="AJ337">
        <f t="shared" si="36"/>
        <v>169.03333333333333</v>
      </c>
    </row>
    <row r="338" spans="1:36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f t="shared" si="32"/>
        <v>174.37142857142859</v>
      </c>
      <c r="S338">
        <v>180.7</v>
      </c>
      <c r="T338">
        <v>178.7</v>
      </c>
      <c r="U338">
        <v>180.4</v>
      </c>
      <c r="V338">
        <f t="shared" si="33"/>
        <v>179.93333333333331</v>
      </c>
      <c r="W338">
        <v>166.8</v>
      </c>
      <c r="X338">
        <v>176.7</v>
      </c>
      <c r="Y338">
        <v>170.3</v>
      </c>
      <c r="Z338">
        <f t="shared" si="31"/>
        <v>171.26666666666665</v>
      </c>
      <c r="AA338">
        <v>178.2</v>
      </c>
      <c r="AB338">
        <v>169.5</v>
      </c>
      <c r="AC338">
        <f t="shared" si="34"/>
        <v>173.85</v>
      </c>
      <c r="AD338">
        <v>165.5</v>
      </c>
      <c r="AE338">
        <v>168</v>
      </c>
      <c r="AF338">
        <f t="shared" si="35"/>
        <v>166.75</v>
      </c>
      <c r="AG338">
        <v>172.6</v>
      </c>
      <c r="AH338">
        <v>171</v>
      </c>
      <c r="AI338">
        <v>173.6</v>
      </c>
      <c r="AJ338">
        <f t="shared" si="36"/>
        <v>172.4</v>
      </c>
    </row>
    <row r="339" spans="1:36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f t="shared" si="32"/>
        <v>177.55714285714288</v>
      </c>
      <c r="S339">
        <v>171.6</v>
      </c>
      <c r="T339">
        <v>157.4</v>
      </c>
      <c r="U339">
        <v>169.4</v>
      </c>
      <c r="V339">
        <f t="shared" si="33"/>
        <v>166.13333333333333</v>
      </c>
      <c r="W339">
        <v>167.8</v>
      </c>
      <c r="X339">
        <v>174.9</v>
      </c>
      <c r="Y339">
        <v>162.1</v>
      </c>
      <c r="Z339">
        <f t="shared" si="31"/>
        <v>168.26666666666668</v>
      </c>
      <c r="AA339">
        <v>170.9</v>
      </c>
      <c r="AB339">
        <v>169.2</v>
      </c>
      <c r="AC339">
        <f t="shared" si="34"/>
        <v>170.05</v>
      </c>
      <c r="AD339">
        <v>157.19999999999999</v>
      </c>
      <c r="AE339">
        <v>164.1</v>
      </c>
      <c r="AF339">
        <f t="shared" si="35"/>
        <v>160.64999999999998</v>
      </c>
      <c r="AG339">
        <v>166.5</v>
      </c>
      <c r="AH339">
        <v>163.80000000000001</v>
      </c>
      <c r="AI339">
        <v>171.4</v>
      </c>
      <c r="AJ339">
        <f t="shared" si="36"/>
        <v>167.23333333333335</v>
      </c>
    </row>
    <row r="340" spans="1:36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f t="shared" si="32"/>
        <v>175.44285714285715</v>
      </c>
      <c r="S340">
        <v>177.1</v>
      </c>
      <c r="T340">
        <v>169.9</v>
      </c>
      <c r="U340">
        <v>176</v>
      </c>
      <c r="V340">
        <f t="shared" si="33"/>
        <v>174.33333333333334</v>
      </c>
      <c r="W340">
        <v>169</v>
      </c>
      <c r="X340">
        <v>176</v>
      </c>
      <c r="Y340">
        <v>166.4</v>
      </c>
      <c r="Z340">
        <f t="shared" si="31"/>
        <v>170.46666666666667</v>
      </c>
      <c r="AA340">
        <v>175.4</v>
      </c>
      <c r="AB340">
        <v>169.4</v>
      </c>
      <c r="AC340">
        <f t="shared" si="34"/>
        <v>172.4</v>
      </c>
      <c r="AD340">
        <v>161.1</v>
      </c>
      <c r="AE340">
        <v>165.8</v>
      </c>
      <c r="AF340">
        <f t="shared" si="35"/>
        <v>163.44999999999999</v>
      </c>
      <c r="AG340">
        <v>169</v>
      </c>
      <c r="AH340">
        <v>167.5</v>
      </c>
      <c r="AI340">
        <v>172.6</v>
      </c>
      <c r="AJ340">
        <f t="shared" si="36"/>
        <v>169.70000000000002</v>
      </c>
    </row>
    <row r="341" spans="1:36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f t="shared" si="32"/>
        <v>174.69285714285712</v>
      </c>
      <c r="S341">
        <v>182</v>
      </c>
      <c r="T341">
        <v>180.3</v>
      </c>
      <c r="U341">
        <v>181.7</v>
      </c>
      <c r="V341">
        <f t="shared" si="33"/>
        <v>181.33333333333334</v>
      </c>
      <c r="W341">
        <v>169.5</v>
      </c>
      <c r="X341">
        <v>179.6</v>
      </c>
      <c r="Y341">
        <v>171.3</v>
      </c>
      <c r="Z341">
        <f t="shared" si="31"/>
        <v>173.4666666666667</v>
      </c>
      <c r="AA341">
        <v>178.8</v>
      </c>
      <c r="AB341">
        <v>169.7</v>
      </c>
      <c r="AC341">
        <f t="shared" si="34"/>
        <v>174.25</v>
      </c>
      <c r="AD341">
        <v>166.3</v>
      </c>
      <c r="AE341">
        <v>168.6</v>
      </c>
      <c r="AF341">
        <f t="shared" si="35"/>
        <v>167.45</v>
      </c>
      <c r="AG341">
        <v>174.7</v>
      </c>
      <c r="AH341">
        <v>171.8</v>
      </c>
      <c r="AI341">
        <v>174.3</v>
      </c>
      <c r="AJ341">
        <f t="shared" si="36"/>
        <v>173.6</v>
      </c>
    </row>
    <row r="342" spans="1:36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f t="shared" si="32"/>
        <v>177.87142857142857</v>
      </c>
      <c r="S342">
        <v>172.7</v>
      </c>
      <c r="T342">
        <v>158.69999999999999</v>
      </c>
      <c r="U342">
        <v>170.6</v>
      </c>
      <c r="V342">
        <f t="shared" si="33"/>
        <v>167.33333333333334</v>
      </c>
      <c r="W342">
        <v>171.2</v>
      </c>
      <c r="X342">
        <v>179.5</v>
      </c>
      <c r="Y342">
        <v>163.1</v>
      </c>
      <c r="Z342">
        <f t="shared" si="31"/>
        <v>171.26666666666665</v>
      </c>
      <c r="AA342">
        <v>171.7</v>
      </c>
      <c r="AB342">
        <v>169.8</v>
      </c>
      <c r="AC342">
        <f t="shared" si="34"/>
        <v>170.75</v>
      </c>
      <c r="AD342">
        <v>157.4</v>
      </c>
      <c r="AE342">
        <v>164.6</v>
      </c>
      <c r="AF342">
        <f t="shared" si="35"/>
        <v>161</v>
      </c>
      <c r="AG342">
        <v>169.1</v>
      </c>
      <c r="AH342">
        <v>164.7</v>
      </c>
      <c r="AI342">
        <v>172.3</v>
      </c>
      <c r="AJ342">
        <f t="shared" si="36"/>
        <v>168.7</v>
      </c>
    </row>
    <row r="343" spans="1:36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f t="shared" si="32"/>
        <v>175.77857142857144</v>
      </c>
      <c r="S343">
        <v>178.3</v>
      </c>
      <c r="T343">
        <v>171.3</v>
      </c>
      <c r="U343">
        <v>177.3</v>
      </c>
      <c r="V343">
        <f t="shared" si="33"/>
        <v>175.63333333333335</v>
      </c>
      <c r="W343">
        <v>171.8</v>
      </c>
      <c r="X343">
        <v>179.6</v>
      </c>
      <c r="Y343">
        <v>167.4</v>
      </c>
      <c r="Z343">
        <f t="shared" si="31"/>
        <v>172.93333333333331</v>
      </c>
      <c r="AA343">
        <v>176.1</v>
      </c>
      <c r="AB343">
        <v>169.7</v>
      </c>
      <c r="AC343">
        <f t="shared" si="34"/>
        <v>172.89999999999998</v>
      </c>
      <c r="AD343">
        <v>161.6</v>
      </c>
      <c r="AE343">
        <v>166.3</v>
      </c>
      <c r="AF343">
        <f t="shared" si="35"/>
        <v>163.95</v>
      </c>
      <c r="AG343">
        <v>171.4</v>
      </c>
      <c r="AH343">
        <v>168.4</v>
      </c>
      <c r="AI343">
        <v>173.4</v>
      </c>
      <c r="AJ343">
        <f t="shared" si="36"/>
        <v>171.06666666666669</v>
      </c>
    </row>
    <row r="344" spans="1:36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f t="shared" si="32"/>
        <v>174.96428571428569</v>
      </c>
      <c r="S344">
        <v>183.2</v>
      </c>
      <c r="T344">
        <v>181.7</v>
      </c>
      <c r="U344">
        <v>183</v>
      </c>
      <c r="V344">
        <f t="shared" si="33"/>
        <v>182.63333333333333</v>
      </c>
      <c r="W344">
        <v>170.7</v>
      </c>
      <c r="X344">
        <v>179.1</v>
      </c>
      <c r="Y344">
        <v>172.3</v>
      </c>
      <c r="Z344">
        <f t="shared" si="31"/>
        <v>174.0333333333333</v>
      </c>
      <c r="AA344">
        <v>179.4</v>
      </c>
      <c r="AB344">
        <v>171.1</v>
      </c>
      <c r="AC344">
        <f t="shared" si="34"/>
        <v>175.25</v>
      </c>
      <c r="AD344">
        <v>166.6</v>
      </c>
      <c r="AE344">
        <v>169.3</v>
      </c>
      <c r="AF344">
        <f t="shared" si="35"/>
        <v>167.95</v>
      </c>
      <c r="AG344">
        <v>175.7</v>
      </c>
      <c r="AH344">
        <v>172.6</v>
      </c>
      <c r="AI344">
        <v>175.3</v>
      </c>
      <c r="AJ344">
        <f t="shared" si="36"/>
        <v>174.5333333333333</v>
      </c>
    </row>
    <row r="345" spans="1:36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f t="shared" si="32"/>
        <v>178.02857142857141</v>
      </c>
      <c r="S345">
        <v>173.7</v>
      </c>
      <c r="T345">
        <v>160</v>
      </c>
      <c r="U345">
        <v>171.6</v>
      </c>
      <c r="V345">
        <f t="shared" si="33"/>
        <v>168.43333333333331</v>
      </c>
      <c r="W345">
        <v>172.1</v>
      </c>
      <c r="X345">
        <v>178.4</v>
      </c>
      <c r="Y345">
        <v>164.2</v>
      </c>
      <c r="Z345">
        <f t="shared" si="31"/>
        <v>171.56666666666669</v>
      </c>
      <c r="AA345">
        <v>172.6</v>
      </c>
      <c r="AB345">
        <v>171.4</v>
      </c>
      <c r="AC345">
        <f t="shared" si="34"/>
        <v>172</v>
      </c>
      <c r="AD345">
        <v>157.69999999999999</v>
      </c>
      <c r="AE345">
        <v>165.1</v>
      </c>
      <c r="AF345">
        <f t="shared" si="35"/>
        <v>161.39999999999998</v>
      </c>
      <c r="AG345">
        <v>169.9</v>
      </c>
      <c r="AH345">
        <v>165.4</v>
      </c>
      <c r="AI345">
        <v>173.1</v>
      </c>
      <c r="AJ345">
        <f t="shared" si="36"/>
        <v>169.46666666666667</v>
      </c>
    </row>
    <row r="346" spans="1:36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f t="shared" si="32"/>
        <v>176.01428571428573</v>
      </c>
      <c r="S346">
        <v>179.5</v>
      </c>
      <c r="T346">
        <v>172.7</v>
      </c>
      <c r="U346">
        <v>178.5</v>
      </c>
      <c r="V346">
        <f t="shared" si="33"/>
        <v>176.9</v>
      </c>
      <c r="W346">
        <v>173.5</v>
      </c>
      <c r="X346">
        <v>178.8</v>
      </c>
      <c r="Y346">
        <v>168.5</v>
      </c>
      <c r="Z346">
        <f t="shared" si="31"/>
        <v>173.6</v>
      </c>
      <c r="AA346">
        <v>176.8</v>
      </c>
      <c r="AB346">
        <v>171.2</v>
      </c>
      <c r="AC346">
        <f t="shared" si="34"/>
        <v>174</v>
      </c>
      <c r="AD346">
        <v>161.9</v>
      </c>
      <c r="AE346">
        <v>166.9</v>
      </c>
      <c r="AF346">
        <f t="shared" si="35"/>
        <v>164.4</v>
      </c>
      <c r="AG346">
        <v>172.3</v>
      </c>
      <c r="AH346">
        <v>169.1</v>
      </c>
      <c r="AI346">
        <v>174.3</v>
      </c>
      <c r="AJ346">
        <f t="shared" si="36"/>
        <v>171.9</v>
      </c>
    </row>
    <row r="347" spans="1:36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f t="shared" si="32"/>
        <v>175.87857142857143</v>
      </c>
      <c r="S347">
        <v>184.7</v>
      </c>
      <c r="T347">
        <v>183.3</v>
      </c>
      <c r="U347">
        <v>184.5</v>
      </c>
      <c r="V347">
        <f t="shared" si="33"/>
        <v>184.16666666666666</v>
      </c>
      <c r="W347">
        <v>173.5</v>
      </c>
      <c r="X347">
        <v>179.7</v>
      </c>
      <c r="Y347">
        <v>173.6</v>
      </c>
      <c r="Z347">
        <f t="shared" si="31"/>
        <v>175.6</v>
      </c>
      <c r="AA347">
        <v>180.2</v>
      </c>
      <c r="AB347">
        <v>170.8</v>
      </c>
      <c r="AC347">
        <f t="shared" si="34"/>
        <v>175.5</v>
      </c>
      <c r="AD347">
        <v>166.9</v>
      </c>
      <c r="AE347">
        <v>170</v>
      </c>
      <c r="AF347">
        <f t="shared" si="35"/>
        <v>168.45</v>
      </c>
      <c r="AG347">
        <v>176.2</v>
      </c>
      <c r="AH347">
        <v>173.1</v>
      </c>
      <c r="AI347">
        <v>176.4</v>
      </c>
      <c r="AJ347">
        <f t="shared" si="36"/>
        <v>175.23333333333332</v>
      </c>
    </row>
    <row r="348" spans="1:36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f t="shared" si="32"/>
        <v>179.00714285714284</v>
      </c>
      <c r="S348">
        <v>175</v>
      </c>
      <c r="T348">
        <v>161.69999999999999</v>
      </c>
      <c r="U348">
        <v>173</v>
      </c>
      <c r="V348">
        <f t="shared" si="33"/>
        <v>169.9</v>
      </c>
      <c r="W348">
        <v>175.2</v>
      </c>
      <c r="X348">
        <v>179.2</v>
      </c>
      <c r="Y348">
        <v>165</v>
      </c>
      <c r="Z348">
        <f t="shared" si="31"/>
        <v>173.13333333333333</v>
      </c>
      <c r="AA348">
        <v>173.8</v>
      </c>
      <c r="AB348">
        <v>171.1</v>
      </c>
      <c r="AC348">
        <f t="shared" si="34"/>
        <v>172.45</v>
      </c>
      <c r="AD348">
        <v>158.19999999999999</v>
      </c>
      <c r="AE348">
        <v>165.8</v>
      </c>
      <c r="AF348">
        <f t="shared" si="35"/>
        <v>162</v>
      </c>
      <c r="AG348">
        <v>170.9</v>
      </c>
      <c r="AH348">
        <v>166.1</v>
      </c>
      <c r="AI348">
        <v>174.1</v>
      </c>
      <c r="AJ348">
        <f t="shared" si="36"/>
        <v>170.36666666666667</v>
      </c>
    </row>
    <row r="349" spans="1:36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f t="shared" si="32"/>
        <v>176.91428571428574</v>
      </c>
      <c r="S349">
        <v>180.9</v>
      </c>
      <c r="T349">
        <v>174.3</v>
      </c>
      <c r="U349">
        <v>179.9</v>
      </c>
      <c r="V349">
        <f t="shared" si="33"/>
        <v>178.36666666666667</v>
      </c>
      <c r="W349">
        <v>175.6</v>
      </c>
      <c r="X349">
        <v>179.5</v>
      </c>
      <c r="Y349">
        <v>169.5</v>
      </c>
      <c r="Z349">
        <f t="shared" si="31"/>
        <v>174.86666666666667</v>
      </c>
      <c r="AA349">
        <v>177.8</v>
      </c>
      <c r="AB349">
        <v>170.9</v>
      </c>
      <c r="AC349">
        <f t="shared" si="34"/>
        <v>174.35000000000002</v>
      </c>
      <c r="AD349">
        <v>162.30000000000001</v>
      </c>
      <c r="AE349">
        <v>167.6</v>
      </c>
      <c r="AF349">
        <f t="shared" si="35"/>
        <v>164.95</v>
      </c>
      <c r="AG349">
        <v>173.1</v>
      </c>
      <c r="AH349">
        <v>169.7</v>
      </c>
      <c r="AI349">
        <v>175.3</v>
      </c>
      <c r="AJ349">
        <f t="shared" si="36"/>
        <v>172.69999999999996</v>
      </c>
    </row>
    <row r="350" spans="1:36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f t="shared" si="32"/>
        <v>177.1</v>
      </c>
      <c r="S350">
        <v>186.1</v>
      </c>
      <c r="T350">
        <v>184.4</v>
      </c>
      <c r="U350">
        <v>185.9</v>
      </c>
      <c r="V350">
        <f t="shared" si="33"/>
        <v>185.46666666666667</v>
      </c>
      <c r="W350">
        <v>139.2560976</v>
      </c>
      <c r="X350">
        <v>180.8</v>
      </c>
      <c r="Y350">
        <v>174.4</v>
      </c>
      <c r="Z350">
        <f t="shared" si="31"/>
        <v>164.8186992</v>
      </c>
      <c r="AA350">
        <v>181.2</v>
      </c>
      <c r="AB350">
        <v>172</v>
      </c>
      <c r="AC350">
        <f t="shared" si="34"/>
        <v>176.6</v>
      </c>
      <c r="AD350">
        <v>167.4</v>
      </c>
      <c r="AE350">
        <v>170.6</v>
      </c>
      <c r="AF350">
        <f t="shared" si="35"/>
        <v>169</v>
      </c>
      <c r="AG350">
        <v>176.5</v>
      </c>
      <c r="AH350">
        <v>173.9</v>
      </c>
      <c r="AI350">
        <v>177.9</v>
      </c>
      <c r="AJ350">
        <f t="shared" si="36"/>
        <v>176.1</v>
      </c>
    </row>
    <row r="351" spans="1:36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f t="shared" si="32"/>
        <v>180.17142857142858</v>
      </c>
      <c r="S351">
        <v>175.5</v>
      </c>
      <c r="T351">
        <v>162.6</v>
      </c>
      <c r="U351">
        <v>173.6</v>
      </c>
      <c r="V351">
        <f t="shared" si="33"/>
        <v>170.56666666666669</v>
      </c>
      <c r="W351" t="s">
        <v>158</v>
      </c>
      <c r="X351">
        <v>180</v>
      </c>
      <c r="Y351">
        <v>166</v>
      </c>
      <c r="Z351">
        <f t="shared" si="31"/>
        <v>173</v>
      </c>
      <c r="AA351">
        <v>174.7</v>
      </c>
      <c r="AB351">
        <v>172.3</v>
      </c>
      <c r="AC351">
        <f t="shared" si="34"/>
        <v>173.5</v>
      </c>
      <c r="AD351">
        <v>158.80000000000001</v>
      </c>
      <c r="AE351">
        <v>166.3</v>
      </c>
      <c r="AF351">
        <f t="shared" si="35"/>
        <v>162.55000000000001</v>
      </c>
      <c r="AG351">
        <v>171.2</v>
      </c>
      <c r="AH351">
        <v>166.8</v>
      </c>
      <c r="AI351">
        <v>175.3</v>
      </c>
      <c r="AJ351">
        <f t="shared" si="36"/>
        <v>171.1</v>
      </c>
    </row>
    <row r="352" spans="1:36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f t="shared" si="32"/>
        <v>178.11428571428573</v>
      </c>
      <c r="S352">
        <v>181.9</v>
      </c>
      <c r="T352">
        <v>175.3</v>
      </c>
      <c r="U352">
        <v>181</v>
      </c>
      <c r="V352">
        <f t="shared" si="33"/>
        <v>179.4</v>
      </c>
      <c r="W352">
        <v>159.80000000000001</v>
      </c>
      <c r="X352">
        <v>180.5</v>
      </c>
      <c r="Y352">
        <v>170.4</v>
      </c>
      <c r="Z352">
        <f t="shared" si="31"/>
        <v>170.23333333333335</v>
      </c>
      <c r="AA352">
        <v>178.7</v>
      </c>
      <c r="AB352">
        <v>172.1</v>
      </c>
      <c r="AC352">
        <f t="shared" si="34"/>
        <v>175.39999999999998</v>
      </c>
      <c r="AD352">
        <v>162.9</v>
      </c>
      <c r="AE352">
        <v>168.2</v>
      </c>
      <c r="AF352">
        <f t="shared" si="35"/>
        <v>165.55</v>
      </c>
      <c r="AG352">
        <v>173.4</v>
      </c>
      <c r="AH352">
        <v>170.5</v>
      </c>
      <c r="AI352">
        <v>176.7</v>
      </c>
      <c r="AJ352">
        <f t="shared" si="36"/>
        <v>173.5333333333333</v>
      </c>
    </row>
    <row r="353" spans="1:36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f t="shared" si="32"/>
        <v>177.37142857142857</v>
      </c>
      <c r="S353">
        <v>187.2</v>
      </c>
      <c r="T353">
        <v>185.2</v>
      </c>
      <c r="U353">
        <v>186.9</v>
      </c>
      <c r="V353">
        <f t="shared" si="33"/>
        <v>186.43333333333331</v>
      </c>
      <c r="W353">
        <v>161.6</v>
      </c>
      <c r="X353">
        <v>181.9</v>
      </c>
      <c r="Y353">
        <v>175.5</v>
      </c>
      <c r="Z353">
        <f t="shared" si="31"/>
        <v>173</v>
      </c>
      <c r="AA353">
        <v>182.3</v>
      </c>
      <c r="AB353">
        <v>173.4</v>
      </c>
      <c r="AC353">
        <f t="shared" si="34"/>
        <v>177.85000000000002</v>
      </c>
      <c r="AD353">
        <v>167.5</v>
      </c>
      <c r="AE353">
        <v>170.8</v>
      </c>
      <c r="AF353">
        <f t="shared" si="35"/>
        <v>169.15</v>
      </c>
      <c r="AG353">
        <v>176.9</v>
      </c>
      <c r="AH353">
        <v>174.6</v>
      </c>
      <c r="AI353">
        <v>177.8</v>
      </c>
      <c r="AJ353">
        <f t="shared" si="36"/>
        <v>176.43333333333331</v>
      </c>
    </row>
    <row r="354" spans="1:36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f t="shared" si="32"/>
        <v>179.64285714285714</v>
      </c>
      <c r="S354">
        <v>176.7</v>
      </c>
      <c r="T354">
        <v>163.5</v>
      </c>
      <c r="U354">
        <v>174.7</v>
      </c>
      <c r="V354">
        <f t="shared" si="33"/>
        <v>171.63333333333333</v>
      </c>
      <c r="W354">
        <v>162.1</v>
      </c>
      <c r="X354">
        <v>180.3</v>
      </c>
      <c r="Y354">
        <v>166.9</v>
      </c>
      <c r="Z354">
        <f t="shared" si="31"/>
        <v>169.76666666666665</v>
      </c>
      <c r="AA354">
        <v>175.8</v>
      </c>
      <c r="AB354">
        <v>173.8</v>
      </c>
      <c r="AC354">
        <f t="shared" si="34"/>
        <v>174.8</v>
      </c>
      <c r="AD354">
        <v>158.9</v>
      </c>
      <c r="AE354">
        <v>166.7</v>
      </c>
      <c r="AF354">
        <f t="shared" si="35"/>
        <v>162.80000000000001</v>
      </c>
      <c r="AG354">
        <v>171.5</v>
      </c>
      <c r="AH354">
        <v>167.4</v>
      </c>
      <c r="AI354">
        <v>174.1</v>
      </c>
      <c r="AJ354">
        <f t="shared" si="36"/>
        <v>171</v>
      </c>
    </row>
    <row r="355" spans="1:36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f t="shared" si="32"/>
        <v>178.12142857142859</v>
      </c>
      <c r="S355">
        <v>183.1</v>
      </c>
      <c r="T355">
        <v>176.2</v>
      </c>
      <c r="U355">
        <v>182.1</v>
      </c>
      <c r="V355">
        <f t="shared" si="33"/>
        <v>180.46666666666667</v>
      </c>
      <c r="W355">
        <v>164.2</v>
      </c>
      <c r="X355">
        <v>181.3</v>
      </c>
      <c r="Y355">
        <v>171.4</v>
      </c>
      <c r="Z355">
        <f t="shared" si="31"/>
        <v>172.29999999999998</v>
      </c>
      <c r="AA355">
        <v>179.8</v>
      </c>
      <c r="AB355">
        <v>173.6</v>
      </c>
      <c r="AC355">
        <f t="shared" si="34"/>
        <v>176.7</v>
      </c>
      <c r="AD355">
        <v>163</v>
      </c>
      <c r="AE355">
        <v>168.5</v>
      </c>
      <c r="AF355">
        <f t="shared" si="35"/>
        <v>165.75</v>
      </c>
      <c r="AG355">
        <v>173.7</v>
      </c>
      <c r="AH355">
        <v>171.1</v>
      </c>
      <c r="AI355">
        <v>176.5</v>
      </c>
      <c r="AJ355">
        <f t="shared" si="36"/>
        <v>173.76666666666665</v>
      </c>
    </row>
    <row r="356" spans="1:36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f t="shared" si="32"/>
        <v>176.64285714285714</v>
      </c>
      <c r="S356">
        <v>188.1</v>
      </c>
      <c r="T356">
        <v>185.9</v>
      </c>
      <c r="U356">
        <v>187.8</v>
      </c>
      <c r="V356">
        <f t="shared" si="33"/>
        <v>187.26666666666665</v>
      </c>
      <c r="W356">
        <v>165.5</v>
      </c>
      <c r="X356">
        <v>182.8</v>
      </c>
      <c r="Y356">
        <v>176.4</v>
      </c>
      <c r="Z356">
        <f t="shared" si="31"/>
        <v>174.9</v>
      </c>
      <c r="AA356">
        <v>183.5</v>
      </c>
      <c r="AB356">
        <v>175.7</v>
      </c>
      <c r="AC356">
        <f t="shared" si="34"/>
        <v>179.6</v>
      </c>
      <c r="AD356">
        <v>167.8</v>
      </c>
      <c r="AE356">
        <v>171.2</v>
      </c>
      <c r="AF356">
        <f t="shared" si="35"/>
        <v>169.5</v>
      </c>
      <c r="AG356">
        <v>177.3</v>
      </c>
      <c r="AH356">
        <v>175.5</v>
      </c>
      <c r="AI356">
        <v>177.1</v>
      </c>
      <c r="AJ356">
        <f t="shared" si="36"/>
        <v>176.63333333333333</v>
      </c>
    </row>
    <row r="357" spans="1:36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f t="shared" si="32"/>
        <v>178.34999999999997</v>
      </c>
      <c r="S357">
        <v>177.7</v>
      </c>
      <c r="T357">
        <v>164.5</v>
      </c>
      <c r="U357">
        <v>175.7</v>
      </c>
      <c r="V357">
        <f t="shared" si="33"/>
        <v>172.63333333333333</v>
      </c>
      <c r="W357">
        <v>167.5</v>
      </c>
      <c r="X357">
        <v>180.6</v>
      </c>
      <c r="Y357">
        <v>167.3</v>
      </c>
      <c r="Z357">
        <f t="shared" si="31"/>
        <v>171.80000000000004</v>
      </c>
      <c r="AA357">
        <v>177.2</v>
      </c>
      <c r="AB357">
        <v>176</v>
      </c>
      <c r="AC357">
        <f t="shared" si="34"/>
        <v>176.6</v>
      </c>
      <c r="AD357">
        <v>159.4</v>
      </c>
      <c r="AE357">
        <v>167.1</v>
      </c>
      <c r="AF357">
        <f t="shared" si="35"/>
        <v>163.25</v>
      </c>
      <c r="AG357">
        <v>171.8</v>
      </c>
      <c r="AH357">
        <v>168.2</v>
      </c>
      <c r="AI357">
        <v>174.1</v>
      </c>
      <c r="AJ357">
        <f t="shared" si="36"/>
        <v>171.36666666666667</v>
      </c>
    </row>
    <row r="358" spans="1:36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f t="shared" si="32"/>
        <v>177.19285714285715</v>
      </c>
      <c r="S358">
        <v>184</v>
      </c>
      <c r="T358">
        <v>177</v>
      </c>
      <c r="U358">
        <v>183</v>
      </c>
      <c r="V358">
        <f t="shared" si="33"/>
        <v>181.33333333333334</v>
      </c>
      <c r="W358">
        <v>169</v>
      </c>
      <c r="X358">
        <v>182</v>
      </c>
      <c r="Y358">
        <v>172.1</v>
      </c>
      <c r="Z358">
        <f t="shared" si="31"/>
        <v>174.36666666666667</v>
      </c>
      <c r="AA358">
        <v>181.1</v>
      </c>
      <c r="AB358">
        <v>175.8</v>
      </c>
      <c r="AC358">
        <f t="shared" si="34"/>
        <v>178.45</v>
      </c>
      <c r="AD358">
        <v>163.4</v>
      </c>
      <c r="AE358">
        <v>168.9</v>
      </c>
      <c r="AF358">
        <f t="shared" si="35"/>
        <v>166.15</v>
      </c>
      <c r="AG358">
        <v>174.1</v>
      </c>
      <c r="AH358">
        <v>172</v>
      </c>
      <c r="AI358">
        <v>175.7</v>
      </c>
      <c r="AJ358">
        <f t="shared" si="36"/>
        <v>173.93333333333331</v>
      </c>
    </row>
    <row r="359" spans="1:36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f t="shared" si="32"/>
        <v>177.15000000000003</v>
      </c>
      <c r="S359">
        <v>189</v>
      </c>
      <c r="T359">
        <v>186.3</v>
      </c>
      <c r="U359">
        <v>188.6</v>
      </c>
      <c r="V359">
        <f t="shared" si="33"/>
        <v>187.96666666666667</v>
      </c>
      <c r="W359">
        <v>171.8</v>
      </c>
      <c r="X359">
        <v>183.2</v>
      </c>
      <c r="Y359">
        <v>177.2</v>
      </c>
      <c r="Z359">
        <f t="shared" si="31"/>
        <v>177.4</v>
      </c>
      <c r="AA359">
        <v>184.7</v>
      </c>
      <c r="AB359">
        <v>178.4</v>
      </c>
      <c r="AC359">
        <f t="shared" si="34"/>
        <v>181.55</v>
      </c>
      <c r="AD359">
        <v>168.2</v>
      </c>
      <c r="AE359">
        <v>171.8</v>
      </c>
      <c r="AF359">
        <f t="shared" si="35"/>
        <v>170</v>
      </c>
      <c r="AG359">
        <v>177.8</v>
      </c>
      <c r="AH359">
        <v>176.5</v>
      </c>
      <c r="AI359">
        <v>177.8</v>
      </c>
      <c r="AJ359">
        <f t="shared" si="36"/>
        <v>177.36666666666667</v>
      </c>
    </row>
    <row r="360" spans="1:36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f t="shared" si="32"/>
        <v>179.41428571428574</v>
      </c>
      <c r="S360">
        <v>178.7</v>
      </c>
      <c r="T360">
        <v>165.3</v>
      </c>
      <c r="U360">
        <v>176.6</v>
      </c>
      <c r="V360">
        <f t="shared" si="33"/>
        <v>173.53333333333333</v>
      </c>
      <c r="W360">
        <v>173.5</v>
      </c>
      <c r="X360">
        <v>180.1</v>
      </c>
      <c r="Y360">
        <v>168</v>
      </c>
      <c r="Z360">
        <f t="shared" si="31"/>
        <v>173.86666666666667</v>
      </c>
      <c r="AA360">
        <v>178.5</v>
      </c>
      <c r="AB360">
        <v>178.8</v>
      </c>
      <c r="AC360">
        <f t="shared" si="34"/>
        <v>178.65</v>
      </c>
      <c r="AD360">
        <v>159.5</v>
      </c>
      <c r="AE360">
        <v>167.8</v>
      </c>
      <c r="AF360">
        <f t="shared" si="35"/>
        <v>163.65</v>
      </c>
      <c r="AG360">
        <v>171.8</v>
      </c>
      <c r="AH360">
        <v>168.9</v>
      </c>
      <c r="AI360">
        <v>174.9</v>
      </c>
      <c r="AJ360">
        <f t="shared" si="36"/>
        <v>171.86666666666667</v>
      </c>
    </row>
    <row r="361" spans="1:36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f t="shared" si="32"/>
        <v>177.92142857142855</v>
      </c>
      <c r="S361">
        <v>184.9</v>
      </c>
      <c r="T361">
        <v>177.6</v>
      </c>
      <c r="U361">
        <v>183.8</v>
      </c>
      <c r="V361">
        <f t="shared" si="33"/>
        <v>182.1</v>
      </c>
      <c r="W361">
        <v>175.6</v>
      </c>
      <c r="X361">
        <v>182</v>
      </c>
      <c r="Y361">
        <v>172.9</v>
      </c>
      <c r="Z361">
        <f t="shared" si="31"/>
        <v>176.83333333333334</v>
      </c>
      <c r="AA361">
        <v>182.3</v>
      </c>
      <c r="AB361">
        <v>178.6</v>
      </c>
      <c r="AC361">
        <f t="shared" si="34"/>
        <v>180.45</v>
      </c>
      <c r="AD361">
        <v>163.6</v>
      </c>
      <c r="AE361">
        <v>169.5</v>
      </c>
      <c r="AF361">
        <f t="shared" si="35"/>
        <v>166.55</v>
      </c>
      <c r="AG361">
        <v>174.3</v>
      </c>
      <c r="AH361">
        <v>172.8</v>
      </c>
      <c r="AI361">
        <v>176.5</v>
      </c>
      <c r="AJ361">
        <f t="shared" si="36"/>
        <v>174.53333333333333</v>
      </c>
    </row>
    <row r="362" spans="1:36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f t="shared" si="32"/>
        <v>176</v>
      </c>
      <c r="S362">
        <v>190</v>
      </c>
      <c r="T362">
        <v>187</v>
      </c>
      <c r="U362">
        <v>189.6</v>
      </c>
      <c r="V362">
        <f t="shared" si="33"/>
        <v>188.86666666666667</v>
      </c>
      <c r="W362">
        <v>159.80000000000001</v>
      </c>
      <c r="X362">
        <v>181.6</v>
      </c>
      <c r="Y362">
        <v>178.6</v>
      </c>
      <c r="Z362">
        <f t="shared" si="31"/>
        <v>173.33333333333334</v>
      </c>
      <c r="AA362">
        <v>186.6</v>
      </c>
      <c r="AB362">
        <v>180.7</v>
      </c>
      <c r="AC362">
        <f t="shared" si="34"/>
        <v>183.64999999999998</v>
      </c>
      <c r="AD362">
        <v>169</v>
      </c>
      <c r="AE362">
        <v>172.8</v>
      </c>
      <c r="AF362">
        <f t="shared" si="35"/>
        <v>170.9</v>
      </c>
      <c r="AG362">
        <v>178.5</v>
      </c>
      <c r="AH362">
        <v>177.9</v>
      </c>
      <c r="AI362">
        <v>178</v>
      </c>
      <c r="AJ362">
        <f t="shared" si="36"/>
        <v>178.13333333333333</v>
      </c>
    </row>
    <row r="363" spans="1:36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f t="shared" si="32"/>
        <v>178.9928571428571</v>
      </c>
      <c r="S363">
        <v>180.3</v>
      </c>
      <c r="T363">
        <v>167</v>
      </c>
      <c r="U363">
        <v>178.2</v>
      </c>
      <c r="V363">
        <f t="shared" si="33"/>
        <v>175.16666666666666</v>
      </c>
      <c r="W363">
        <v>164.2</v>
      </c>
      <c r="X363">
        <v>182.8</v>
      </c>
      <c r="Y363">
        <v>169.2</v>
      </c>
      <c r="Z363">
        <f t="shared" si="31"/>
        <v>172.06666666666669</v>
      </c>
      <c r="AA363">
        <v>180.8</v>
      </c>
      <c r="AB363">
        <v>181.4</v>
      </c>
      <c r="AC363">
        <f t="shared" si="34"/>
        <v>181.10000000000002</v>
      </c>
      <c r="AD363">
        <v>159.80000000000001</v>
      </c>
      <c r="AE363">
        <v>168.4</v>
      </c>
      <c r="AF363">
        <f t="shared" si="35"/>
        <v>164.10000000000002</v>
      </c>
      <c r="AG363">
        <v>172.5</v>
      </c>
      <c r="AH363">
        <v>170</v>
      </c>
      <c r="AI363">
        <v>176.3</v>
      </c>
      <c r="AJ363">
        <f t="shared" si="36"/>
        <v>172.93333333333331</v>
      </c>
    </row>
    <row r="364" spans="1:36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f t="shared" si="32"/>
        <v>177.04285714285714</v>
      </c>
      <c r="S364">
        <v>186.2</v>
      </c>
      <c r="T364">
        <v>178.7</v>
      </c>
      <c r="U364">
        <v>185.1</v>
      </c>
      <c r="V364">
        <f t="shared" si="33"/>
        <v>183.33333333333334</v>
      </c>
      <c r="W364">
        <v>169</v>
      </c>
      <c r="X364">
        <v>182.1</v>
      </c>
      <c r="Y364">
        <v>174.2</v>
      </c>
      <c r="Z364">
        <f t="shared" si="31"/>
        <v>175.1</v>
      </c>
      <c r="AA364">
        <v>184.4</v>
      </c>
      <c r="AB364">
        <v>181</v>
      </c>
      <c r="AC364">
        <f t="shared" si="34"/>
        <v>182.7</v>
      </c>
      <c r="AD364">
        <v>164.2</v>
      </c>
      <c r="AE364">
        <v>170.3</v>
      </c>
      <c r="AF364">
        <f t="shared" si="35"/>
        <v>167.25</v>
      </c>
      <c r="AG364">
        <v>175</v>
      </c>
      <c r="AH364">
        <v>174.1</v>
      </c>
      <c r="AI364">
        <v>177.2</v>
      </c>
      <c r="AJ364">
        <f t="shared" si="36"/>
        <v>175.43333333333331</v>
      </c>
    </row>
    <row r="365" spans="1:36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f t="shared" si="32"/>
        <v>176.01428571428573</v>
      </c>
      <c r="S365">
        <v>190</v>
      </c>
      <c r="T365">
        <v>187</v>
      </c>
      <c r="U365">
        <v>189.6</v>
      </c>
      <c r="V365">
        <f t="shared" si="33"/>
        <v>188.86666666666667</v>
      </c>
      <c r="W365">
        <v>175.6</v>
      </c>
      <c r="X365">
        <v>181.4</v>
      </c>
      <c r="Y365">
        <v>178.6</v>
      </c>
      <c r="Z365">
        <f t="shared" si="31"/>
        <v>178.53333333333333</v>
      </c>
      <c r="AA365">
        <v>186.6</v>
      </c>
      <c r="AB365">
        <v>180.7</v>
      </c>
      <c r="AC365">
        <f t="shared" si="34"/>
        <v>183.64999999999998</v>
      </c>
      <c r="AD365">
        <v>169</v>
      </c>
      <c r="AE365">
        <v>172.8</v>
      </c>
      <c r="AF365">
        <f t="shared" si="35"/>
        <v>170.9</v>
      </c>
      <c r="AG365">
        <v>178.5</v>
      </c>
      <c r="AH365">
        <v>177.9</v>
      </c>
      <c r="AI365">
        <v>178</v>
      </c>
      <c r="AJ365">
        <f t="shared" si="36"/>
        <v>178.13333333333333</v>
      </c>
    </row>
    <row r="366" spans="1:36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f t="shared" si="32"/>
        <v>179.00714285714284</v>
      </c>
      <c r="S366">
        <v>180.2</v>
      </c>
      <c r="T366">
        <v>167</v>
      </c>
      <c r="U366">
        <v>178.2</v>
      </c>
      <c r="V366">
        <f t="shared" si="33"/>
        <v>175.13333333333333</v>
      </c>
      <c r="W366">
        <v>165.5</v>
      </c>
      <c r="X366">
        <v>182.6</v>
      </c>
      <c r="Y366">
        <v>169.2</v>
      </c>
      <c r="Z366">
        <f t="shared" si="31"/>
        <v>172.43333333333331</v>
      </c>
      <c r="AA366">
        <v>180.8</v>
      </c>
      <c r="AB366">
        <v>181.5</v>
      </c>
      <c r="AC366">
        <f t="shared" si="34"/>
        <v>181.15</v>
      </c>
      <c r="AD366">
        <v>159.80000000000001</v>
      </c>
      <c r="AE366">
        <v>168.4</v>
      </c>
      <c r="AF366">
        <f t="shared" si="35"/>
        <v>164.10000000000002</v>
      </c>
      <c r="AG366">
        <v>172.5</v>
      </c>
      <c r="AH366">
        <v>170</v>
      </c>
      <c r="AI366">
        <v>176.3</v>
      </c>
      <c r="AJ366">
        <f t="shared" si="36"/>
        <v>172.93333333333331</v>
      </c>
    </row>
    <row r="367" spans="1:36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f t="shared" si="32"/>
        <v>177.04999999999998</v>
      </c>
      <c r="S367">
        <v>186.1</v>
      </c>
      <c r="T367">
        <v>178.7</v>
      </c>
      <c r="U367">
        <v>185.1</v>
      </c>
      <c r="V367">
        <f t="shared" si="33"/>
        <v>183.29999999999998</v>
      </c>
      <c r="W367">
        <v>167.5</v>
      </c>
      <c r="X367">
        <v>181.9</v>
      </c>
      <c r="Y367">
        <v>174.2</v>
      </c>
      <c r="Z367">
        <f t="shared" si="31"/>
        <v>174.5333333333333</v>
      </c>
      <c r="AA367">
        <v>184.4</v>
      </c>
      <c r="AB367">
        <v>181</v>
      </c>
      <c r="AC367">
        <f t="shared" si="34"/>
        <v>182.7</v>
      </c>
      <c r="AD367">
        <v>164.2</v>
      </c>
      <c r="AE367">
        <v>170.3</v>
      </c>
      <c r="AF367">
        <f t="shared" si="35"/>
        <v>167.25</v>
      </c>
      <c r="AG367">
        <v>175</v>
      </c>
      <c r="AH367">
        <v>174.1</v>
      </c>
      <c r="AI367">
        <v>177.2</v>
      </c>
      <c r="AJ367">
        <f t="shared" si="36"/>
        <v>175.43333333333331</v>
      </c>
    </row>
    <row r="368" spans="1:36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f t="shared" si="32"/>
        <v>176.69285714285712</v>
      </c>
      <c r="S368">
        <v>190.7</v>
      </c>
      <c r="T368">
        <v>187.3</v>
      </c>
      <c r="U368">
        <v>190.2</v>
      </c>
      <c r="V368">
        <f t="shared" si="33"/>
        <v>189.4</v>
      </c>
      <c r="W368">
        <v>169</v>
      </c>
      <c r="X368">
        <v>181.5</v>
      </c>
      <c r="Y368">
        <v>179.1</v>
      </c>
      <c r="Z368">
        <f t="shared" si="31"/>
        <v>176.53333333333333</v>
      </c>
      <c r="AA368">
        <v>187.2</v>
      </c>
      <c r="AB368">
        <v>183.8</v>
      </c>
      <c r="AC368">
        <f t="shared" si="34"/>
        <v>185.5</v>
      </c>
      <c r="AD368">
        <v>169.4</v>
      </c>
      <c r="AE368">
        <v>173.2</v>
      </c>
      <c r="AF368">
        <f t="shared" si="35"/>
        <v>171.3</v>
      </c>
      <c r="AG368">
        <v>179.4</v>
      </c>
      <c r="AH368">
        <v>178.9</v>
      </c>
      <c r="AI368">
        <v>178.8</v>
      </c>
      <c r="AJ368">
        <f t="shared" si="36"/>
        <v>179.03333333333333</v>
      </c>
    </row>
    <row r="369" spans="1:36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f t="shared" si="32"/>
        <v>180.08571428571432</v>
      </c>
      <c r="S369">
        <v>181</v>
      </c>
      <c r="T369">
        <v>167.7</v>
      </c>
      <c r="U369">
        <v>178.9</v>
      </c>
      <c r="V369">
        <f t="shared" si="33"/>
        <v>175.86666666666667</v>
      </c>
      <c r="W369">
        <v>171.8</v>
      </c>
      <c r="X369">
        <v>182.1</v>
      </c>
      <c r="Y369">
        <v>169.6</v>
      </c>
      <c r="Z369">
        <f t="shared" si="31"/>
        <v>174.5</v>
      </c>
      <c r="AA369">
        <v>181.5</v>
      </c>
      <c r="AB369">
        <v>184.4</v>
      </c>
      <c r="AC369">
        <f t="shared" si="34"/>
        <v>182.95</v>
      </c>
      <c r="AD369">
        <v>160.1</v>
      </c>
      <c r="AE369">
        <v>168.8</v>
      </c>
      <c r="AF369">
        <f t="shared" si="35"/>
        <v>164.45</v>
      </c>
      <c r="AG369">
        <v>174.2</v>
      </c>
      <c r="AH369">
        <v>170.9</v>
      </c>
      <c r="AI369">
        <v>177.4</v>
      </c>
      <c r="AJ369">
        <f t="shared" si="36"/>
        <v>174.16666666666666</v>
      </c>
    </row>
    <row r="370" spans="1:36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f t="shared" si="32"/>
        <v>177.87142857142859</v>
      </c>
      <c r="S370">
        <v>186.9</v>
      </c>
      <c r="T370">
        <v>179.2</v>
      </c>
      <c r="U370">
        <v>185.7</v>
      </c>
      <c r="V370">
        <f t="shared" si="33"/>
        <v>183.93333333333331</v>
      </c>
      <c r="W370">
        <v>173.5</v>
      </c>
      <c r="X370">
        <v>181.7</v>
      </c>
      <c r="Y370">
        <v>174.6</v>
      </c>
      <c r="Z370">
        <f t="shared" si="31"/>
        <v>176.6</v>
      </c>
      <c r="AA370">
        <v>185</v>
      </c>
      <c r="AB370">
        <v>184</v>
      </c>
      <c r="AC370">
        <f t="shared" si="34"/>
        <v>184.5</v>
      </c>
      <c r="AD370">
        <v>164.5</v>
      </c>
      <c r="AE370">
        <v>170.7</v>
      </c>
      <c r="AF370">
        <f t="shared" si="35"/>
        <v>167.6</v>
      </c>
      <c r="AG370">
        <v>176.4</v>
      </c>
      <c r="AH370">
        <v>175</v>
      </c>
      <c r="AI370">
        <v>178.1</v>
      </c>
      <c r="AJ370">
        <f t="shared" si="36"/>
        <v>176.5</v>
      </c>
    </row>
    <row r="371" spans="1:36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f t="shared" si="32"/>
        <v>177.90000000000006</v>
      </c>
      <c r="S371">
        <v>191.2</v>
      </c>
      <c r="T371">
        <v>187.9</v>
      </c>
      <c r="U371">
        <v>190.8</v>
      </c>
      <c r="V371">
        <f t="shared" si="33"/>
        <v>189.9666666666667</v>
      </c>
      <c r="W371">
        <v>175.6</v>
      </c>
      <c r="X371">
        <v>182.5</v>
      </c>
      <c r="Y371">
        <v>179.8</v>
      </c>
      <c r="Z371">
        <f t="shared" si="31"/>
        <v>179.30000000000004</v>
      </c>
      <c r="AA371">
        <v>187.8</v>
      </c>
      <c r="AB371">
        <v>184.9</v>
      </c>
      <c r="AC371">
        <f t="shared" si="34"/>
        <v>186.35000000000002</v>
      </c>
      <c r="AD371">
        <v>169.7</v>
      </c>
      <c r="AE371">
        <v>173.8</v>
      </c>
      <c r="AF371">
        <f t="shared" si="35"/>
        <v>171.75</v>
      </c>
      <c r="AG371">
        <v>180.3</v>
      </c>
      <c r="AH371">
        <v>179.5</v>
      </c>
      <c r="AI371">
        <v>179.8</v>
      </c>
      <c r="AJ371">
        <f t="shared" si="36"/>
        <v>179.86666666666667</v>
      </c>
    </row>
    <row r="372" spans="1:36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f t="shared" si="32"/>
        <v>181.37857142857141</v>
      </c>
      <c r="S372">
        <v>181.3</v>
      </c>
      <c r="T372">
        <v>168.1</v>
      </c>
      <c r="U372">
        <v>179.3</v>
      </c>
      <c r="V372">
        <f t="shared" si="33"/>
        <v>176.23333333333335</v>
      </c>
      <c r="W372">
        <v>171.2</v>
      </c>
      <c r="X372">
        <v>183.4</v>
      </c>
      <c r="Y372">
        <v>170.1</v>
      </c>
      <c r="Z372">
        <f t="shared" si="31"/>
        <v>174.9</v>
      </c>
      <c r="AA372">
        <v>182.2</v>
      </c>
      <c r="AB372">
        <v>185.6</v>
      </c>
      <c r="AC372">
        <f t="shared" si="34"/>
        <v>183.89999999999998</v>
      </c>
      <c r="AD372">
        <v>160.4</v>
      </c>
      <c r="AE372">
        <v>169.2</v>
      </c>
      <c r="AF372">
        <f t="shared" si="35"/>
        <v>164.8</v>
      </c>
      <c r="AG372">
        <v>174.8</v>
      </c>
      <c r="AH372">
        <v>171.6</v>
      </c>
      <c r="AI372">
        <v>178.2</v>
      </c>
      <c r="AJ372">
        <f t="shared" si="36"/>
        <v>174.86666666666665</v>
      </c>
    </row>
    <row r="373" spans="1:36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f t="shared" si="32"/>
        <v>179.1357142857143</v>
      </c>
      <c r="S373">
        <v>187.3</v>
      </c>
      <c r="T373">
        <v>179.7</v>
      </c>
      <c r="U373">
        <v>186.2</v>
      </c>
      <c r="V373">
        <f t="shared" si="33"/>
        <v>184.4</v>
      </c>
      <c r="W373">
        <v>171.8</v>
      </c>
      <c r="X373">
        <v>182.8</v>
      </c>
      <c r="Y373">
        <v>175.2</v>
      </c>
      <c r="Z373">
        <f t="shared" si="31"/>
        <v>176.6</v>
      </c>
      <c r="AA373">
        <v>185.7</v>
      </c>
      <c r="AB373">
        <v>185.2</v>
      </c>
      <c r="AC373">
        <f t="shared" si="34"/>
        <v>185.45</v>
      </c>
      <c r="AD373">
        <v>164.8</v>
      </c>
      <c r="AE373">
        <v>171.2</v>
      </c>
      <c r="AF373">
        <f t="shared" si="35"/>
        <v>168</v>
      </c>
      <c r="AG373">
        <v>177.1</v>
      </c>
      <c r="AH373">
        <v>175.7</v>
      </c>
      <c r="AI373">
        <v>179.1</v>
      </c>
      <c r="AJ373">
        <f t="shared" si="36"/>
        <v>177.29999999999998</v>
      </c>
    </row>
  </sheetData>
  <autoFilter ref="A1:AH373" xr:uid="{67129FC3-15D8-4BC9-AA61-FCAD8097F3B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1AFA-3693-465D-81A5-3569C665EC02}">
  <dimension ref="A1:J28"/>
  <sheetViews>
    <sheetView tabSelected="1" workbookViewId="0">
      <selection activeCell="B5" sqref="B5"/>
    </sheetView>
  </sheetViews>
  <sheetFormatPr defaultRowHeight="14.4"/>
  <cols>
    <col min="1" max="1" width="12.21875" customWidth="1"/>
    <col min="2" max="2" width="12" bestFit="1" customWidth="1"/>
    <col min="3" max="3" width="11.5546875" customWidth="1"/>
    <col min="4" max="4" width="12.44140625" customWidth="1"/>
    <col min="6" max="6" width="12.5546875" bestFit="1" customWidth="1"/>
    <col min="7" max="7" width="12" bestFit="1" customWidth="1"/>
    <col min="8" max="8" width="11" customWidth="1"/>
    <col min="9" max="9" width="10.88671875" customWidth="1"/>
  </cols>
  <sheetData>
    <row r="1" spans="1:8">
      <c r="A1" t="s">
        <v>0</v>
      </c>
      <c r="B1" t="s">
        <v>166</v>
      </c>
      <c r="C1" t="s">
        <v>167</v>
      </c>
      <c r="D1" t="s">
        <v>171</v>
      </c>
      <c r="E1" t="s">
        <v>172</v>
      </c>
      <c r="F1" t="s">
        <v>173</v>
      </c>
      <c r="G1" t="s">
        <v>170</v>
      </c>
    </row>
    <row r="2" spans="1:8">
      <c r="A2" t="s">
        <v>30</v>
      </c>
      <c r="B2">
        <v>177.90000000000006</v>
      </c>
      <c r="C2">
        <v>189.9666666666667</v>
      </c>
      <c r="D2">
        <v>167.18536586666667</v>
      </c>
      <c r="E2">
        <v>186.35000000000002</v>
      </c>
      <c r="F2">
        <v>171.75</v>
      </c>
      <c r="G2">
        <v>179.86666666666667</v>
      </c>
      <c r="H2">
        <f>SUM(B2:G2)</f>
        <v>1073.0186992000001</v>
      </c>
    </row>
    <row r="3" spans="1:8">
      <c r="A3" t="s">
        <v>33</v>
      </c>
      <c r="B3">
        <v>181.37857142857141</v>
      </c>
      <c r="C3">
        <v>176.23333333333335</v>
      </c>
      <c r="D3">
        <v>176.75</v>
      </c>
      <c r="E3">
        <v>183.89999999999998</v>
      </c>
      <c r="F3">
        <v>164.8</v>
      </c>
      <c r="G3">
        <v>174.86666666666665</v>
      </c>
      <c r="H3">
        <f>SUM(B3:G3)</f>
        <v>1057.9285714285713</v>
      </c>
    </row>
    <row r="4" spans="1:8">
      <c r="A4" t="s">
        <v>34</v>
      </c>
      <c r="B4">
        <v>179.1357142857143</v>
      </c>
      <c r="C4">
        <v>184.4</v>
      </c>
      <c r="D4">
        <v>179</v>
      </c>
      <c r="E4">
        <v>185.45</v>
      </c>
      <c r="F4">
        <v>168</v>
      </c>
      <c r="G4">
        <v>177.29999999999998</v>
      </c>
      <c r="H4">
        <f>SUM(B4:G4)</f>
        <v>1073.2857142857142</v>
      </c>
    </row>
    <row r="5" spans="1:8">
      <c r="B5" s="2">
        <f>B2/H2</f>
        <v>0.16579394201856426</v>
      </c>
      <c r="C5" s="3">
        <f>C2/H2</f>
        <v>0.17703947452947302</v>
      </c>
      <c r="D5" s="2">
        <f>D2/H2</f>
        <v>0.15580843650843496</v>
      </c>
      <c r="E5" s="2">
        <f>E2/H2</f>
        <v>0.17366892127689401</v>
      </c>
      <c r="F5" s="2">
        <f>F2/H2</f>
        <v>0.16006244823883306</v>
      </c>
      <c r="G5" s="2">
        <f>G2/H2</f>
        <v>0.16762677742780072</v>
      </c>
    </row>
    <row r="6" spans="1:8">
      <c r="B6" s="2">
        <f>B3/H3</f>
        <v>0.17144689757612586</v>
      </c>
      <c r="C6" s="2">
        <f>C3/H3</f>
        <v>0.16658339522427029</v>
      </c>
      <c r="D6" s="2">
        <f>D3/H3</f>
        <v>0.16707177098102763</v>
      </c>
      <c r="E6" s="3">
        <f>E3/H3</f>
        <v>0.17383026129228277</v>
      </c>
      <c r="F6" s="2">
        <f>F3/H3</f>
        <v>0.15577611234892988</v>
      </c>
      <c r="G6" s="2">
        <f>G3/H3</f>
        <v>0.16529156257736366</v>
      </c>
      <c r="H6" s="2"/>
    </row>
    <row r="7" spans="1:8">
      <c r="B7" s="2">
        <f>B4/H4</f>
        <v>0.16690403300945031</v>
      </c>
      <c r="C7" s="2">
        <f>C4/H4</f>
        <v>0.17180886463463332</v>
      </c>
      <c r="D7" s="2">
        <f>D4/H4</f>
        <v>0.16677758551843472</v>
      </c>
      <c r="E7" s="3">
        <f>E4/H4</f>
        <v>0.17278716890722748</v>
      </c>
      <c r="F7" s="2">
        <f>F4/H4</f>
        <v>0.15652868361506722</v>
      </c>
      <c r="G7" s="2">
        <f>G4/H4</f>
        <v>0.16519366431518701</v>
      </c>
    </row>
    <row r="25" spans="1:10">
      <c r="A25" t="s">
        <v>181</v>
      </c>
    </row>
    <row r="26" spans="1:10">
      <c r="A26" t="s">
        <v>175</v>
      </c>
    </row>
    <row r="27" spans="1:10">
      <c r="A27" t="s">
        <v>174</v>
      </c>
      <c r="D27" t="s">
        <v>176</v>
      </c>
      <c r="I27" t="s">
        <v>180</v>
      </c>
      <c r="J27" t="s">
        <v>178</v>
      </c>
    </row>
    <row r="28" spans="1:10">
      <c r="A28" t="s">
        <v>174</v>
      </c>
      <c r="D28" t="s">
        <v>176</v>
      </c>
      <c r="I28" t="s">
        <v>177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11A7-4648-42CB-AE67-D40054719475}">
  <dimension ref="A1:AJ103"/>
  <sheetViews>
    <sheetView topLeftCell="A83" workbookViewId="0">
      <selection activeCell="I103" sqref="I103"/>
    </sheetView>
  </sheetViews>
  <sheetFormatPr defaultRowHeight="14.4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169</v>
      </c>
      <c r="O1" t="s">
        <v>168</v>
      </c>
      <c r="P1" t="s">
        <v>15</v>
      </c>
      <c r="Q1" t="s">
        <v>16</v>
      </c>
      <c r="R1" t="s">
        <v>166</v>
      </c>
      <c r="S1" t="s">
        <v>17</v>
      </c>
      <c r="T1" t="s">
        <v>18</v>
      </c>
      <c r="U1" t="s">
        <v>19</v>
      </c>
      <c r="V1" t="s">
        <v>167</v>
      </c>
      <c r="W1" t="s">
        <v>20</v>
      </c>
      <c r="X1" t="s">
        <v>21</v>
      </c>
      <c r="Y1" t="s">
        <v>22</v>
      </c>
      <c r="Z1" t="s">
        <v>171</v>
      </c>
      <c r="AA1" t="s">
        <v>23</v>
      </c>
      <c r="AB1" t="s">
        <v>27</v>
      </c>
      <c r="AC1" t="s">
        <v>172</v>
      </c>
      <c r="AD1" t="s">
        <v>24</v>
      </c>
      <c r="AE1" t="s">
        <v>25</v>
      </c>
      <c r="AF1" t="s">
        <v>173</v>
      </c>
      <c r="AG1" t="s">
        <v>26</v>
      </c>
      <c r="AH1" t="s">
        <v>28</v>
      </c>
      <c r="AI1" t="s">
        <v>29</v>
      </c>
      <c r="AJ1" t="s">
        <v>170</v>
      </c>
    </row>
    <row r="2" spans="1:36">
      <c r="A2" t="s">
        <v>34</v>
      </c>
      <c r="B2">
        <v>2017</v>
      </c>
      <c r="C2" t="s">
        <v>31</v>
      </c>
      <c r="D2">
        <v>132.80000000000001</v>
      </c>
      <c r="E2">
        <v>138.19999999999999</v>
      </c>
      <c r="F2">
        <v>132.19999999999999</v>
      </c>
      <c r="G2">
        <v>135.4</v>
      </c>
      <c r="H2">
        <v>119.1</v>
      </c>
      <c r="I2">
        <v>133</v>
      </c>
      <c r="J2">
        <v>119.4</v>
      </c>
      <c r="K2">
        <v>159.5</v>
      </c>
      <c r="L2">
        <v>115.6</v>
      </c>
      <c r="M2">
        <v>139.6</v>
      </c>
      <c r="N2">
        <v>126.6</v>
      </c>
      <c r="O2">
        <v>142.80000000000001</v>
      </c>
      <c r="P2">
        <v>133.1</v>
      </c>
      <c r="Q2">
        <v>143.80000000000001</v>
      </c>
      <c r="R2">
        <v>133.64999999999995</v>
      </c>
      <c r="S2">
        <v>136.6</v>
      </c>
      <c r="T2">
        <v>130.19999999999999</v>
      </c>
      <c r="U2">
        <v>135.6</v>
      </c>
      <c r="V2">
        <v>134.13333333333333</v>
      </c>
      <c r="W2">
        <v>147.69999999999999</v>
      </c>
      <c r="X2">
        <v>126.8</v>
      </c>
      <c r="Y2">
        <v>129.4</v>
      </c>
      <c r="Z2">
        <v>134.63333333333333</v>
      </c>
      <c r="AA2">
        <v>127.1</v>
      </c>
      <c r="AB2">
        <v>121.7</v>
      </c>
      <c r="AC2">
        <v>124.4</v>
      </c>
      <c r="AD2">
        <v>117</v>
      </c>
      <c r="AE2">
        <v>124.2</v>
      </c>
      <c r="AF2">
        <v>120.6</v>
      </c>
      <c r="AG2">
        <v>133.30000000000001</v>
      </c>
      <c r="AH2">
        <v>124.4</v>
      </c>
      <c r="AI2">
        <v>130.30000000000001</v>
      </c>
      <c r="AJ2">
        <v>129.33333333333334</v>
      </c>
    </row>
    <row r="3" spans="1:36">
      <c r="A3" t="s">
        <v>34</v>
      </c>
      <c r="B3">
        <v>2017</v>
      </c>
      <c r="C3" t="s">
        <v>35</v>
      </c>
      <c r="D3">
        <v>133.1</v>
      </c>
      <c r="E3">
        <v>138.80000000000001</v>
      </c>
      <c r="F3">
        <v>129.30000000000001</v>
      </c>
      <c r="G3">
        <v>135.80000000000001</v>
      </c>
      <c r="H3">
        <v>119.2</v>
      </c>
      <c r="I3">
        <v>135.30000000000001</v>
      </c>
      <c r="J3">
        <v>119.5</v>
      </c>
      <c r="K3">
        <v>152.19999999999999</v>
      </c>
      <c r="L3">
        <v>117.3</v>
      </c>
      <c r="M3">
        <v>138.69999999999999</v>
      </c>
      <c r="N3">
        <v>126.9</v>
      </c>
      <c r="O3">
        <v>143.19999999999999</v>
      </c>
      <c r="P3">
        <v>133</v>
      </c>
      <c r="Q3">
        <v>144.4</v>
      </c>
      <c r="R3">
        <v>133.33571428571432</v>
      </c>
      <c r="S3">
        <v>136.80000000000001</v>
      </c>
      <c r="T3">
        <v>130.30000000000001</v>
      </c>
      <c r="U3">
        <v>135.9</v>
      </c>
      <c r="V3">
        <v>134.33333333333334</v>
      </c>
      <c r="W3">
        <v>149</v>
      </c>
      <c r="X3">
        <v>127.9</v>
      </c>
      <c r="Y3">
        <v>129.69999999999999</v>
      </c>
      <c r="Z3">
        <v>135.53333333333333</v>
      </c>
      <c r="AA3">
        <v>127.4</v>
      </c>
      <c r="AB3">
        <v>122.6</v>
      </c>
      <c r="AC3">
        <v>125</v>
      </c>
      <c r="AD3">
        <v>117.4</v>
      </c>
      <c r="AE3">
        <v>124.6</v>
      </c>
      <c r="AF3">
        <v>121</v>
      </c>
      <c r="AG3">
        <v>133.4</v>
      </c>
      <c r="AH3">
        <v>124.8</v>
      </c>
      <c r="AI3">
        <v>130.6</v>
      </c>
      <c r="AJ3">
        <v>129.6</v>
      </c>
    </row>
    <row r="4" spans="1:36">
      <c r="A4" t="s">
        <v>34</v>
      </c>
      <c r="B4">
        <v>2017</v>
      </c>
      <c r="C4" t="s">
        <v>36</v>
      </c>
      <c r="D4">
        <v>133.30000000000001</v>
      </c>
      <c r="E4">
        <v>139</v>
      </c>
      <c r="F4">
        <v>128.6</v>
      </c>
      <c r="G4">
        <v>136.30000000000001</v>
      </c>
      <c r="H4">
        <v>118.8</v>
      </c>
      <c r="I4">
        <v>138.30000000000001</v>
      </c>
      <c r="J4">
        <v>120.5</v>
      </c>
      <c r="K4">
        <v>143.9</v>
      </c>
      <c r="L4">
        <v>118</v>
      </c>
      <c r="M4">
        <v>137.9</v>
      </c>
      <c r="N4">
        <v>127.2</v>
      </c>
      <c r="O4">
        <v>144</v>
      </c>
      <c r="P4">
        <v>133.1</v>
      </c>
      <c r="Q4">
        <v>145.1</v>
      </c>
      <c r="R4">
        <v>133.14285714285714</v>
      </c>
      <c r="S4">
        <v>137.30000000000001</v>
      </c>
      <c r="T4">
        <v>130.6</v>
      </c>
      <c r="U4">
        <v>136.4</v>
      </c>
      <c r="V4">
        <v>134.76666666666665</v>
      </c>
      <c r="W4">
        <v>150.1</v>
      </c>
      <c r="X4">
        <v>129.1</v>
      </c>
      <c r="Y4">
        <v>130.1</v>
      </c>
      <c r="Z4">
        <v>136.43333333333331</v>
      </c>
      <c r="AA4">
        <v>127.8</v>
      </c>
      <c r="AB4">
        <v>122.6</v>
      </c>
      <c r="AC4">
        <v>125.19999999999999</v>
      </c>
      <c r="AD4">
        <v>117.6</v>
      </c>
      <c r="AE4">
        <v>125</v>
      </c>
      <c r="AF4">
        <v>121.3</v>
      </c>
      <c r="AG4">
        <v>133.80000000000001</v>
      </c>
      <c r="AH4">
        <v>125.1</v>
      </c>
      <c r="AI4">
        <v>130.9</v>
      </c>
      <c r="AJ4">
        <v>129.93333333333331</v>
      </c>
    </row>
    <row r="5" spans="1:36">
      <c r="A5" t="s">
        <v>34</v>
      </c>
      <c r="B5">
        <v>2017</v>
      </c>
      <c r="C5" t="s">
        <v>37</v>
      </c>
      <c r="D5">
        <v>133</v>
      </c>
      <c r="E5">
        <v>139.4</v>
      </c>
      <c r="F5">
        <v>126.1</v>
      </c>
      <c r="G5">
        <v>137.19999999999999</v>
      </c>
      <c r="H5">
        <v>118.4</v>
      </c>
      <c r="I5">
        <v>139.9</v>
      </c>
      <c r="J5">
        <v>123.4</v>
      </c>
      <c r="K5">
        <v>140.9</v>
      </c>
      <c r="L5">
        <v>118.5</v>
      </c>
      <c r="M5">
        <v>136.5</v>
      </c>
      <c r="N5">
        <v>127.4</v>
      </c>
      <c r="O5">
        <v>144.19999999999999</v>
      </c>
      <c r="P5">
        <v>133.5</v>
      </c>
      <c r="Q5">
        <v>145.4</v>
      </c>
      <c r="R5">
        <v>133.12857142857143</v>
      </c>
      <c r="S5">
        <v>138</v>
      </c>
      <c r="T5">
        <v>131.1</v>
      </c>
      <c r="U5">
        <v>137</v>
      </c>
      <c r="V5">
        <v>135.36666666666667</v>
      </c>
      <c r="W5">
        <v>150.6</v>
      </c>
      <c r="X5">
        <v>129.80000000000001</v>
      </c>
      <c r="Y5">
        <v>130.4</v>
      </c>
      <c r="Z5">
        <v>136.93333333333331</v>
      </c>
      <c r="AA5">
        <v>128.1</v>
      </c>
      <c r="AB5">
        <v>123.1</v>
      </c>
      <c r="AC5">
        <v>125.6</v>
      </c>
      <c r="AD5">
        <v>116.6</v>
      </c>
      <c r="AE5">
        <v>125.1</v>
      </c>
      <c r="AF5">
        <v>120.85</v>
      </c>
      <c r="AG5">
        <v>134.5</v>
      </c>
      <c r="AH5">
        <v>125.1</v>
      </c>
      <c r="AI5">
        <v>131.1</v>
      </c>
      <c r="AJ5">
        <v>130.23333333333335</v>
      </c>
    </row>
    <row r="6" spans="1:36">
      <c r="A6" t="s">
        <v>34</v>
      </c>
      <c r="B6">
        <v>2017</v>
      </c>
      <c r="C6" t="s">
        <v>38</v>
      </c>
      <c r="D6">
        <v>132.9</v>
      </c>
      <c r="E6">
        <v>141.6</v>
      </c>
      <c r="F6">
        <v>126.3</v>
      </c>
      <c r="G6">
        <v>137.69999999999999</v>
      </c>
      <c r="H6">
        <v>118.1</v>
      </c>
      <c r="I6">
        <v>137.9</v>
      </c>
      <c r="J6">
        <v>125.6</v>
      </c>
      <c r="K6">
        <v>138.30000000000001</v>
      </c>
      <c r="L6">
        <v>119.4</v>
      </c>
      <c r="M6">
        <v>136</v>
      </c>
      <c r="N6">
        <v>127.6</v>
      </c>
      <c r="O6">
        <v>144.5</v>
      </c>
      <c r="P6">
        <v>133.69999999999999</v>
      </c>
      <c r="Q6">
        <v>146.19999999999999</v>
      </c>
      <c r="R6">
        <v>133.27142857142857</v>
      </c>
      <c r="S6">
        <v>138.19999999999999</v>
      </c>
      <c r="T6">
        <v>131.4</v>
      </c>
      <c r="U6">
        <v>137.19999999999999</v>
      </c>
      <c r="V6">
        <v>135.6</v>
      </c>
      <c r="W6">
        <v>151.6</v>
      </c>
      <c r="X6">
        <v>129.4</v>
      </c>
      <c r="Y6">
        <v>130.9</v>
      </c>
      <c r="Z6">
        <v>137.29999999999998</v>
      </c>
      <c r="AA6">
        <v>128.4</v>
      </c>
      <c r="AB6">
        <v>123</v>
      </c>
      <c r="AC6">
        <v>125.7</v>
      </c>
      <c r="AD6">
        <v>116.7</v>
      </c>
      <c r="AE6">
        <v>125.7</v>
      </c>
      <c r="AF6">
        <v>121.2</v>
      </c>
      <c r="AG6">
        <v>134.80000000000001</v>
      </c>
      <c r="AH6">
        <v>125.3</v>
      </c>
      <c r="AI6">
        <v>131.4</v>
      </c>
      <c r="AJ6">
        <v>130.5</v>
      </c>
    </row>
    <row r="7" spans="1:36">
      <c r="A7" t="s">
        <v>34</v>
      </c>
      <c r="B7">
        <v>2017</v>
      </c>
      <c r="C7" t="s">
        <v>39</v>
      </c>
      <c r="D7">
        <v>133.30000000000001</v>
      </c>
      <c r="E7">
        <v>145.5</v>
      </c>
      <c r="F7">
        <v>128.1</v>
      </c>
      <c r="G7">
        <v>138.1</v>
      </c>
      <c r="H7">
        <v>118.2</v>
      </c>
      <c r="I7">
        <v>139.19999999999999</v>
      </c>
      <c r="J7">
        <v>133.30000000000001</v>
      </c>
      <c r="K7">
        <v>136.19999999999999</v>
      </c>
      <c r="L7">
        <v>119.6</v>
      </c>
      <c r="M7">
        <v>135.30000000000001</v>
      </c>
      <c r="N7">
        <v>127.8</v>
      </c>
      <c r="O7">
        <v>144.9</v>
      </c>
      <c r="P7">
        <v>135.19999999999999</v>
      </c>
      <c r="Q7">
        <v>146.5</v>
      </c>
      <c r="R7">
        <v>134.37142857142857</v>
      </c>
      <c r="S7">
        <v>138.5</v>
      </c>
      <c r="T7">
        <v>131.69999999999999</v>
      </c>
      <c r="U7">
        <v>137.5</v>
      </c>
      <c r="V7">
        <v>135.9</v>
      </c>
      <c r="W7">
        <v>153</v>
      </c>
      <c r="X7">
        <v>128.80000000000001</v>
      </c>
      <c r="Y7">
        <v>131.19999999999999</v>
      </c>
      <c r="Z7">
        <v>137.66666666666666</v>
      </c>
      <c r="AA7">
        <v>128.5</v>
      </c>
      <c r="AB7">
        <v>123.4</v>
      </c>
      <c r="AC7">
        <v>125.95</v>
      </c>
      <c r="AD7">
        <v>116.5</v>
      </c>
      <c r="AE7">
        <v>125.9</v>
      </c>
      <c r="AF7">
        <v>121.2</v>
      </c>
      <c r="AG7">
        <v>135.4</v>
      </c>
      <c r="AH7">
        <v>125.5</v>
      </c>
      <c r="AI7">
        <v>132</v>
      </c>
      <c r="AJ7">
        <v>130.96666666666667</v>
      </c>
    </row>
    <row r="8" spans="1:36">
      <c r="A8" t="s">
        <v>34</v>
      </c>
      <c r="B8">
        <v>2017</v>
      </c>
      <c r="C8" t="s">
        <v>40</v>
      </c>
      <c r="D8">
        <v>133.6</v>
      </c>
      <c r="E8">
        <v>145.69999999999999</v>
      </c>
      <c r="F8">
        <v>129.6</v>
      </c>
      <c r="G8">
        <v>138.5</v>
      </c>
      <c r="H8">
        <v>118.1</v>
      </c>
      <c r="I8">
        <v>141.80000000000001</v>
      </c>
      <c r="J8">
        <v>159.5</v>
      </c>
      <c r="K8">
        <v>133.6</v>
      </c>
      <c r="L8">
        <v>120.5</v>
      </c>
      <c r="M8">
        <v>135.19999999999999</v>
      </c>
      <c r="N8">
        <v>128.5</v>
      </c>
      <c r="O8">
        <v>145.80000000000001</v>
      </c>
      <c r="P8">
        <v>139</v>
      </c>
      <c r="Q8">
        <v>148.19999999999999</v>
      </c>
      <c r="R8">
        <v>136.97142857142856</v>
      </c>
      <c r="S8">
        <v>139.30000000000001</v>
      </c>
      <c r="T8">
        <v>132.1</v>
      </c>
      <c r="U8">
        <v>138.30000000000001</v>
      </c>
      <c r="V8">
        <v>136.56666666666666</v>
      </c>
      <c r="W8">
        <v>153.5</v>
      </c>
      <c r="X8">
        <v>129.4</v>
      </c>
      <c r="Y8">
        <v>131.9</v>
      </c>
      <c r="Z8">
        <v>138.26666666666665</v>
      </c>
      <c r="AA8">
        <v>129.4</v>
      </c>
      <c r="AB8">
        <v>123.6</v>
      </c>
      <c r="AC8">
        <v>126.5</v>
      </c>
      <c r="AD8">
        <v>116</v>
      </c>
      <c r="AE8">
        <v>126.6</v>
      </c>
      <c r="AF8">
        <v>121.3</v>
      </c>
      <c r="AG8">
        <v>136.80000000000001</v>
      </c>
      <c r="AH8">
        <v>125.9</v>
      </c>
      <c r="AI8">
        <v>134.19999999999999</v>
      </c>
      <c r="AJ8">
        <v>132.30000000000001</v>
      </c>
    </row>
    <row r="9" spans="1:36">
      <c r="A9" t="s">
        <v>34</v>
      </c>
      <c r="B9">
        <v>2017</v>
      </c>
      <c r="C9" t="s">
        <v>41</v>
      </c>
      <c r="D9">
        <v>134.30000000000001</v>
      </c>
      <c r="E9">
        <v>143.4</v>
      </c>
      <c r="F9">
        <v>129.30000000000001</v>
      </c>
      <c r="G9">
        <v>139</v>
      </c>
      <c r="H9">
        <v>118.1</v>
      </c>
      <c r="I9">
        <v>145.5</v>
      </c>
      <c r="J9">
        <v>168.6</v>
      </c>
      <c r="K9">
        <v>132.69999999999999</v>
      </c>
      <c r="L9">
        <v>121.2</v>
      </c>
      <c r="M9">
        <v>135.6</v>
      </c>
      <c r="N9">
        <v>128.69999999999999</v>
      </c>
      <c r="O9">
        <v>146.80000000000001</v>
      </c>
      <c r="P9">
        <v>140.6</v>
      </c>
      <c r="Q9">
        <v>149.80000000000001</v>
      </c>
      <c r="R9">
        <v>138.1142857142857</v>
      </c>
      <c r="S9">
        <v>140.30000000000001</v>
      </c>
      <c r="T9">
        <v>133</v>
      </c>
      <c r="U9">
        <v>139.30000000000001</v>
      </c>
      <c r="V9">
        <v>137.53333333333333</v>
      </c>
      <c r="W9">
        <v>153.9</v>
      </c>
      <c r="X9">
        <v>129.80000000000001</v>
      </c>
      <c r="Y9">
        <v>132.80000000000001</v>
      </c>
      <c r="Z9">
        <v>138.83333333333334</v>
      </c>
      <c r="AA9">
        <v>130.19999999999999</v>
      </c>
      <c r="AB9">
        <v>124.5</v>
      </c>
      <c r="AC9">
        <v>127.35</v>
      </c>
      <c r="AD9">
        <v>117.3</v>
      </c>
      <c r="AE9">
        <v>127.3</v>
      </c>
      <c r="AF9">
        <v>122.3</v>
      </c>
      <c r="AG9">
        <v>137.6</v>
      </c>
      <c r="AH9">
        <v>126.8</v>
      </c>
      <c r="AI9">
        <v>135.4</v>
      </c>
      <c r="AJ9">
        <v>133.26666666666665</v>
      </c>
    </row>
    <row r="10" spans="1:36">
      <c r="A10" t="s">
        <v>34</v>
      </c>
      <c r="B10">
        <v>2017</v>
      </c>
      <c r="C10" t="s">
        <v>42</v>
      </c>
      <c r="D10">
        <v>134.69999999999999</v>
      </c>
      <c r="E10">
        <v>142.4</v>
      </c>
      <c r="F10">
        <v>130.19999999999999</v>
      </c>
      <c r="G10">
        <v>139.6</v>
      </c>
      <c r="H10">
        <v>118.4</v>
      </c>
      <c r="I10">
        <v>143</v>
      </c>
      <c r="J10">
        <v>156.6</v>
      </c>
      <c r="K10">
        <v>132.9</v>
      </c>
      <c r="L10">
        <v>121.5</v>
      </c>
      <c r="M10">
        <v>135.6</v>
      </c>
      <c r="N10">
        <v>128.80000000000001</v>
      </c>
      <c r="O10">
        <v>147.30000000000001</v>
      </c>
      <c r="P10">
        <v>139</v>
      </c>
      <c r="Q10">
        <v>150.80000000000001</v>
      </c>
      <c r="R10">
        <v>137.19999999999999</v>
      </c>
      <c r="S10">
        <v>141.1</v>
      </c>
      <c r="T10">
        <v>133.4</v>
      </c>
      <c r="U10">
        <v>140</v>
      </c>
      <c r="V10">
        <v>138.16666666666666</v>
      </c>
      <c r="W10">
        <v>154.80000000000001</v>
      </c>
      <c r="X10">
        <v>131</v>
      </c>
      <c r="Y10">
        <v>133.30000000000001</v>
      </c>
      <c r="Z10">
        <v>139.70000000000002</v>
      </c>
      <c r="AA10">
        <v>130.6</v>
      </c>
      <c r="AB10">
        <v>125.7</v>
      </c>
      <c r="AC10">
        <v>128.15</v>
      </c>
      <c r="AD10">
        <v>118.3</v>
      </c>
      <c r="AE10">
        <v>127.9</v>
      </c>
      <c r="AF10">
        <v>123.1</v>
      </c>
      <c r="AG10">
        <v>137.4</v>
      </c>
      <c r="AH10">
        <v>127.5</v>
      </c>
      <c r="AI10">
        <v>135.19999999999999</v>
      </c>
      <c r="AJ10">
        <v>133.36666666666665</v>
      </c>
    </row>
    <row r="11" spans="1:36">
      <c r="A11" t="s">
        <v>34</v>
      </c>
      <c r="B11">
        <v>2017</v>
      </c>
      <c r="C11" t="s">
        <v>43</v>
      </c>
      <c r="D11">
        <v>135.30000000000001</v>
      </c>
      <c r="E11">
        <v>142.19999999999999</v>
      </c>
      <c r="F11">
        <v>131.19999999999999</v>
      </c>
      <c r="G11">
        <v>140.6</v>
      </c>
      <c r="H11">
        <v>119</v>
      </c>
      <c r="I11">
        <v>141.5</v>
      </c>
      <c r="J11">
        <v>162.6</v>
      </c>
      <c r="K11">
        <v>132.30000000000001</v>
      </c>
      <c r="L11">
        <v>121.8</v>
      </c>
      <c r="M11">
        <v>136.30000000000001</v>
      </c>
      <c r="N11">
        <v>128.69999999999999</v>
      </c>
      <c r="O11">
        <v>148.1</v>
      </c>
      <c r="P11">
        <v>140.1</v>
      </c>
      <c r="Q11">
        <v>151.6</v>
      </c>
      <c r="R11">
        <v>137.94999999999999</v>
      </c>
      <c r="S11">
        <v>142</v>
      </c>
      <c r="T11">
        <v>134.1</v>
      </c>
      <c r="U11">
        <v>140.80000000000001</v>
      </c>
      <c r="V11">
        <v>138.96666666666667</v>
      </c>
      <c r="W11">
        <v>155.6</v>
      </c>
      <c r="X11">
        <v>132.19999999999999</v>
      </c>
      <c r="Y11">
        <v>133.6</v>
      </c>
      <c r="Z11">
        <v>140.46666666666667</v>
      </c>
      <c r="AA11">
        <v>131.30000000000001</v>
      </c>
      <c r="AB11">
        <v>126.2</v>
      </c>
      <c r="AC11">
        <v>128.75</v>
      </c>
      <c r="AD11">
        <v>117.8</v>
      </c>
      <c r="AE11">
        <v>128.4</v>
      </c>
      <c r="AF11">
        <v>123.1</v>
      </c>
      <c r="AG11">
        <v>137.9</v>
      </c>
      <c r="AH11">
        <v>127.7</v>
      </c>
      <c r="AI11">
        <v>136.1</v>
      </c>
      <c r="AJ11">
        <v>133.9</v>
      </c>
    </row>
    <row r="12" spans="1:36">
      <c r="A12" t="s">
        <v>34</v>
      </c>
      <c r="B12">
        <v>2017</v>
      </c>
      <c r="C12" t="s">
        <v>45</v>
      </c>
      <c r="D12">
        <v>135.69999999999999</v>
      </c>
      <c r="E12">
        <v>142.4</v>
      </c>
      <c r="F12">
        <v>142.9</v>
      </c>
      <c r="G12">
        <v>140.80000000000001</v>
      </c>
      <c r="H12">
        <v>119.2</v>
      </c>
      <c r="I12">
        <v>142.19999999999999</v>
      </c>
      <c r="J12">
        <v>173.8</v>
      </c>
      <c r="K12">
        <v>131.19999999999999</v>
      </c>
      <c r="L12">
        <v>123</v>
      </c>
      <c r="M12">
        <v>136.80000000000001</v>
      </c>
      <c r="N12">
        <v>129.19999999999999</v>
      </c>
      <c r="O12">
        <v>148.9</v>
      </c>
      <c r="P12">
        <v>142.1</v>
      </c>
      <c r="Q12">
        <v>153.19999999999999</v>
      </c>
      <c r="R12">
        <v>140.1</v>
      </c>
      <c r="S12">
        <v>143</v>
      </c>
      <c r="T12">
        <v>134.80000000000001</v>
      </c>
      <c r="U12">
        <v>141.80000000000001</v>
      </c>
      <c r="V12">
        <v>139.86666666666667</v>
      </c>
      <c r="W12">
        <v>154.69999999999999</v>
      </c>
      <c r="X12">
        <v>135.30000000000001</v>
      </c>
      <c r="Y12">
        <v>134.4</v>
      </c>
      <c r="Z12">
        <v>141.46666666666667</v>
      </c>
      <c r="AA12">
        <v>132.6</v>
      </c>
      <c r="AB12">
        <v>126.8</v>
      </c>
      <c r="AC12">
        <v>129.69999999999999</v>
      </c>
      <c r="AD12">
        <v>118.3</v>
      </c>
      <c r="AE12">
        <v>128.9</v>
      </c>
      <c r="AF12">
        <v>123.6</v>
      </c>
      <c r="AG12">
        <v>138.6</v>
      </c>
      <c r="AH12">
        <v>128.4</v>
      </c>
      <c r="AI12">
        <v>137.6</v>
      </c>
      <c r="AJ12">
        <v>134.86666666666667</v>
      </c>
    </row>
    <row r="13" spans="1:36">
      <c r="A13" t="s">
        <v>34</v>
      </c>
      <c r="B13">
        <v>2017</v>
      </c>
      <c r="C13" t="s">
        <v>46</v>
      </c>
      <c r="D13">
        <v>135.80000000000001</v>
      </c>
      <c r="E13">
        <v>143.30000000000001</v>
      </c>
      <c r="F13">
        <v>145.19999999999999</v>
      </c>
      <c r="G13">
        <v>141</v>
      </c>
      <c r="H13">
        <v>120.5</v>
      </c>
      <c r="I13">
        <v>141.5</v>
      </c>
      <c r="J13">
        <v>161.69999999999999</v>
      </c>
      <c r="K13">
        <v>129.1</v>
      </c>
      <c r="L13">
        <v>121.5</v>
      </c>
      <c r="M13">
        <v>137.1</v>
      </c>
      <c r="N13">
        <v>128.80000000000001</v>
      </c>
      <c r="O13">
        <v>149</v>
      </c>
      <c r="P13">
        <v>140.5</v>
      </c>
      <c r="Q13">
        <v>154.19999999999999</v>
      </c>
      <c r="R13">
        <v>139.22857142857143</v>
      </c>
      <c r="S13">
        <v>143.1</v>
      </c>
      <c r="T13">
        <v>135.1</v>
      </c>
      <c r="U13">
        <v>142</v>
      </c>
      <c r="V13">
        <v>140.06666666666666</v>
      </c>
      <c r="W13">
        <v>155.5</v>
      </c>
      <c r="X13">
        <v>136.6</v>
      </c>
      <c r="Y13">
        <v>134.69999999999999</v>
      </c>
      <c r="Z13">
        <v>142.26666666666668</v>
      </c>
      <c r="AA13">
        <v>133.1</v>
      </c>
      <c r="AB13">
        <v>126.5</v>
      </c>
      <c r="AC13">
        <v>129.80000000000001</v>
      </c>
      <c r="AD13">
        <v>118.5</v>
      </c>
      <c r="AE13">
        <v>129</v>
      </c>
      <c r="AF13">
        <v>123.75</v>
      </c>
      <c r="AG13">
        <v>138.5</v>
      </c>
      <c r="AH13">
        <v>128.6</v>
      </c>
      <c r="AI13">
        <v>137.19999999999999</v>
      </c>
      <c r="AJ13">
        <v>134.76666666666668</v>
      </c>
    </row>
    <row r="14" spans="1:36">
      <c r="A14" t="s">
        <v>34</v>
      </c>
      <c r="B14">
        <v>2018</v>
      </c>
      <c r="C14" t="s">
        <v>31</v>
      </c>
      <c r="D14">
        <v>136</v>
      </c>
      <c r="E14">
        <v>144.19999999999999</v>
      </c>
      <c r="F14">
        <v>143.69999999999999</v>
      </c>
      <c r="G14">
        <v>141.1</v>
      </c>
      <c r="H14">
        <v>120.7</v>
      </c>
      <c r="I14">
        <v>141.30000000000001</v>
      </c>
      <c r="J14">
        <v>151.6</v>
      </c>
      <c r="K14">
        <v>127.3</v>
      </c>
      <c r="L14">
        <v>118.8</v>
      </c>
      <c r="M14">
        <v>137.5</v>
      </c>
      <c r="N14">
        <v>129</v>
      </c>
      <c r="O14">
        <v>149.5</v>
      </c>
      <c r="P14">
        <v>139.19999999999999</v>
      </c>
      <c r="Q14">
        <v>154.69999999999999</v>
      </c>
      <c r="R14">
        <v>138.18571428571428</v>
      </c>
      <c r="S14">
        <v>143.5</v>
      </c>
      <c r="T14">
        <v>135.5</v>
      </c>
      <c r="U14">
        <v>142.30000000000001</v>
      </c>
      <c r="V14">
        <v>140.43333333333334</v>
      </c>
      <c r="W14">
        <v>156.30000000000001</v>
      </c>
      <c r="X14">
        <v>136.6</v>
      </c>
      <c r="Y14">
        <v>134.9</v>
      </c>
      <c r="Z14">
        <v>142.6</v>
      </c>
      <c r="AA14">
        <v>133.30000000000001</v>
      </c>
      <c r="AB14">
        <v>127.3</v>
      </c>
      <c r="AC14">
        <v>130.30000000000001</v>
      </c>
      <c r="AD14">
        <v>119.3</v>
      </c>
      <c r="AE14">
        <v>129.69999999999999</v>
      </c>
      <c r="AF14">
        <v>124.5</v>
      </c>
      <c r="AG14">
        <v>139</v>
      </c>
      <c r="AH14">
        <v>129.1</v>
      </c>
      <c r="AI14">
        <v>136.9</v>
      </c>
      <c r="AJ14">
        <v>135</v>
      </c>
    </row>
    <row r="15" spans="1:36">
      <c r="A15" t="s">
        <v>34</v>
      </c>
      <c r="B15">
        <v>2018</v>
      </c>
      <c r="C15" t="s">
        <v>35</v>
      </c>
      <c r="D15">
        <v>135.9</v>
      </c>
      <c r="E15">
        <v>143.5</v>
      </c>
      <c r="F15">
        <v>140.30000000000001</v>
      </c>
      <c r="G15">
        <v>140.9</v>
      </c>
      <c r="H15">
        <v>120.4</v>
      </c>
      <c r="I15">
        <v>142.9</v>
      </c>
      <c r="J15">
        <v>140.5</v>
      </c>
      <c r="K15">
        <v>125.8</v>
      </c>
      <c r="L15">
        <v>117.1</v>
      </c>
      <c r="M15">
        <v>137.30000000000001</v>
      </c>
      <c r="N15">
        <v>128.6</v>
      </c>
      <c r="O15">
        <v>149.6</v>
      </c>
      <c r="P15">
        <v>137.6</v>
      </c>
      <c r="Q15">
        <v>154.9</v>
      </c>
      <c r="R15">
        <v>136.80714285714285</v>
      </c>
      <c r="S15">
        <v>143.80000000000001</v>
      </c>
      <c r="T15">
        <v>135.6</v>
      </c>
      <c r="U15">
        <v>142.6</v>
      </c>
      <c r="V15">
        <v>140.66666666666666</v>
      </c>
      <c r="W15">
        <v>158</v>
      </c>
      <c r="X15">
        <v>136.69999999999999</v>
      </c>
      <c r="Y15">
        <v>135.19999999999999</v>
      </c>
      <c r="Z15">
        <v>143.29999999999998</v>
      </c>
      <c r="AA15">
        <v>133.80000000000001</v>
      </c>
      <c r="AB15">
        <v>127.7</v>
      </c>
      <c r="AC15">
        <v>130.75</v>
      </c>
      <c r="AD15">
        <v>120.2</v>
      </c>
      <c r="AE15">
        <v>129.9</v>
      </c>
      <c r="AF15">
        <v>125.05000000000001</v>
      </c>
      <c r="AG15">
        <v>139</v>
      </c>
      <c r="AH15">
        <v>129.6</v>
      </c>
      <c r="AI15">
        <v>136.4</v>
      </c>
      <c r="AJ15">
        <v>135</v>
      </c>
    </row>
    <row r="16" spans="1:36">
      <c r="A16" t="s">
        <v>34</v>
      </c>
      <c r="B16">
        <v>2018</v>
      </c>
      <c r="C16" t="s">
        <v>36</v>
      </c>
      <c r="D16">
        <v>136.19999999999999</v>
      </c>
      <c r="E16">
        <v>143.6</v>
      </c>
      <c r="F16">
        <v>138.30000000000001</v>
      </c>
      <c r="G16">
        <v>141.19999999999999</v>
      </c>
      <c r="H16">
        <v>120.7</v>
      </c>
      <c r="I16">
        <v>146.19999999999999</v>
      </c>
      <c r="J16">
        <v>134.6</v>
      </c>
      <c r="K16">
        <v>124.6</v>
      </c>
      <c r="L16">
        <v>116.1</v>
      </c>
      <c r="M16">
        <v>137.80000000000001</v>
      </c>
      <c r="N16">
        <v>129.1</v>
      </c>
      <c r="O16">
        <v>150.4</v>
      </c>
      <c r="P16">
        <v>137.19999999999999</v>
      </c>
      <c r="Q16">
        <v>156.30000000000001</v>
      </c>
      <c r="R16">
        <v>136.59285714285713</v>
      </c>
      <c r="S16">
        <v>144.30000000000001</v>
      </c>
      <c r="T16">
        <v>136.19999999999999</v>
      </c>
      <c r="U16">
        <v>143.1</v>
      </c>
      <c r="V16">
        <v>141.20000000000002</v>
      </c>
      <c r="W16">
        <v>158.4</v>
      </c>
      <c r="X16">
        <v>136.5</v>
      </c>
      <c r="Y16">
        <v>135.6</v>
      </c>
      <c r="Z16">
        <v>143.5</v>
      </c>
      <c r="AA16">
        <v>134.30000000000001</v>
      </c>
      <c r="AB16">
        <v>128.19999999999999</v>
      </c>
      <c r="AC16">
        <v>131.25</v>
      </c>
      <c r="AD16">
        <v>121</v>
      </c>
      <c r="AE16">
        <v>130.4</v>
      </c>
      <c r="AF16">
        <v>125.7</v>
      </c>
      <c r="AG16">
        <v>139.80000000000001</v>
      </c>
      <c r="AH16">
        <v>130.30000000000001</v>
      </c>
      <c r="AI16">
        <v>136.5</v>
      </c>
      <c r="AJ16">
        <v>135.53333333333333</v>
      </c>
    </row>
    <row r="17" spans="1:36">
      <c r="A17" t="s">
        <v>34</v>
      </c>
      <c r="B17">
        <v>2018</v>
      </c>
      <c r="C17" t="s">
        <v>37</v>
      </c>
      <c r="D17">
        <v>136.4</v>
      </c>
      <c r="E17">
        <v>144.4</v>
      </c>
      <c r="F17">
        <v>133.9</v>
      </c>
      <c r="G17">
        <v>141.6</v>
      </c>
      <c r="H17">
        <v>121</v>
      </c>
      <c r="I17">
        <v>153.5</v>
      </c>
      <c r="J17">
        <v>132.6</v>
      </c>
      <c r="K17">
        <v>123.5</v>
      </c>
      <c r="L17">
        <v>113.7</v>
      </c>
      <c r="M17">
        <v>138.19999999999999</v>
      </c>
      <c r="N17">
        <v>129.6</v>
      </c>
      <c r="O17">
        <v>151.19999999999999</v>
      </c>
      <c r="P17">
        <v>137.5</v>
      </c>
      <c r="Q17">
        <v>156.9</v>
      </c>
      <c r="R17">
        <v>136.71428571428572</v>
      </c>
      <c r="S17">
        <v>145.30000000000001</v>
      </c>
      <c r="T17">
        <v>136.69999999999999</v>
      </c>
      <c r="U17">
        <v>144</v>
      </c>
      <c r="V17">
        <v>142</v>
      </c>
      <c r="W17">
        <v>159.80000000000001</v>
      </c>
      <c r="X17">
        <v>136.5</v>
      </c>
      <c r="Y17">
        <v>136.6</v>
      </c>
      <c r="Z17">
        <v>144.29999999999998</v>
      </c>
      <c r="AA17">
        <v>135.19999999999999</v>
      </c>
      <c r="AB17">
        <v>129.19999999999999</v>
      </c>
      <c r="AC17">
        <v>132.19999999999999</v>
      </c>
      <c r="AD17">
        <v>121.9</v>
      </c>
      <c r="AE17">
        <v>131.30000000000001</v>
      </c>
      <c r="AF17">
        <v>126.60000000000001</v>
      </c>
      <c r="AG17">
        <v>141.4</v>
      </c>
      <c r="AH17">
        <v>131.30000000000001</v>
      </c>
      <c r="AI17">
        <v>137.1</v>
      </c>
      <c r="AJ17">
        <v>136.60000000000002</v>
      </c>
    </row>
    <row r="18" spans="1:36">
      <c r="A18" t="s">
        <v>34</v>
      </c>
      <c r="B18">
        <v>2018</v>
      </c>
      <c r="C18" t="s">
        <v>38</v>
      </c>
      <c r="D18">
        <v>136.6</v>
      </c>
      <c r="E18">
        <v>146.6</v>
      </c>
      <c r="F18">
        <v>133.6</v>
      </c>
      <c r="G18">
        <v>142.1</v>
      </c>
      <c r="H18">
        <v>121</v>
      </c>
      <c r="I18">
        <v>154.6</v>
      </c>
      <c r="J18">
        <v>135.6</v>
      </c>
      <c r="K18">
        <v>122.3</v>
      </c>
      <c r="L18">
        <v>109.6</v>
      </c>
      <c r="M18">
        <v>138.1</v>
      </c>
      <c r="N18">
        <v>129.9</v>
      </c>
      <c r="O18">
        <v>151.69999999999999</v>
      </c>
      <c r="P18">
        <v>138.1</v>
      </c>
      <c r="Q18">
        <v>157.9</v>
      </c>
      <c r="R18">
        <v>136.97857142857143</v>
      </c>
      <c r="S18">
        <v>146</v>
      </c>
      <c r="T18">
        <v>137.4</v>
      </c>
      <c r="U18">
        <v>144.69999999999999</v>
      </c>
      <c r="V18">
        <v>142.69999999999999</v>
      </c>
      <c r="W18">
        <v>159.9</v>
      </c>
      <c r="X18">
        <v>136.9</v>
      </c>
      <c r="Y18">
        <v>137.4</v>
      </c>
      <c r="Z18">
        <v>144.73333333333335</v>
      </c>
      <c r="AA18">
        <v>136</v>
      </c>
      <c r="AB18">
        <v>129.9</v>
      </c>
      <c r="AC18">
        <v>132.94999999999999</v>
      </c>
      <c r="AD18">
        <v>122.9</v>
      </c>
      <c r="AE18">
        <v>131.80000000000001</v>
      </c>
      <c r="AF18">
        <v>127.35000000000001</v>
      </c>
      <c r="AG18">
        <v>142.1</v>
      </c>
      <c r="AH18">
        <v>132.1</v>
      </c>
      <c r="AI18">
        <v>137.80000000000001</v>
      </c>
      <c r="AJ18">
        <v>137.33333333333334</v>
      </c>
    </row>
    <row r="19" spans="1:36">
      <c r="A19" t="s">
        <v>34</v>
      </c>
      <c r="B19">
        <v>2018</v>
      </c>
      <c r="C19" t="s">
        <v>39</v>
      </c>
      <c r="D19">
        <v>136.9</v>
      </c>
      <c r="E19">
        <v>148.69999999999999</v>
      </c>
      <c r="F19">
        <v>135.6</v>
      </c>
      <c r="G19">
        <v>142.30000000000001</v>
      </c>
      <c r="H19">
        <v>121.3</v>
      </c>
      <c r="I19">
        <v>153.19999999999999</v>
      </c>
      <c r="J19">
        <v>143.69999999999999</v>
      </c>
      <c r="K19">
        <v>121.4</v>
      </c>
      <c r="L19">
        <v>111.1</v>
      </c>
      <c r="M19">
        <v>138.4</v>
      </c>
      <c r="N19">
        <v>130.30000000000001</v>
      </c>
      <c r="O19">
        <v>151.80000000000001</v>
      </c>
      <c r="P19">
        <v>139.4</v>
      </c>
      <c r="Q19">
        <v>158.30000000000001</v>
      </c>
      <c r="R19">
        <v>138.02857142857144</v>
      </c>
      <c r="S19">
        <v>146.4</v>
      </c>
      <c r="T19">
        <v>138.1</v>
      </c>
      <c r="U19">
        <v>145.19999999999999</v>
      </c>
      <c r="V19">
        <v>143.23333333333332</v>
      </c>
      <c r="W19">
        <v>161.6</v>
      </c>
      <c r="X19">
        <v>138.1</v>
      </c>
      <c r="Y19">
        <v>137.9</v>
      </c>
      <c r="Z19">
        <v>145.86666666666667</v>
      </c>
      <c r="AA19">
        <v>136.19999999999999</v>
      </c>
      <c r="AB19">
        <v>130.1</v>
      </c>
      <c r="AC19">
        <v>133.14999999999998</v>
      </c>
      <c r="AD19">
        <v>123.7</v>
      </c>
      <c r="AE19">
        <v>132.6</v>
      </c>
      <c r="AF19">
        <v>128.15</v>
      </c>
      <c r="AG19">
        <v>142.80000000000001</v>
      </c>
      <c r="AH19">
        <v>132.6</v>
      </c>
      <c r="AI19">
        <v>138.5</v>
      </c>
      <c r="AJ19">
        <v>137.96666666666667</v>
      </c>
    </row>
    <row r="20" spans="1:36">
      <c r="A20" t="s">
        <v>34</v>
      </c>
      <c r="B20">
        <v>2018</v>
      </c>
      <c r="C20" t="s">
        <v>40</v>
      </c>
      <c r="D20">
        <v>137.5</v>
      </c>
      <c r="E20">
        <v>149.1</v>
      </c>
      <c r="F20">
        <v>139.19999999999999</v>
      </c>
      <c r="G20">
        <v>142.5</v>
      </c>
      <c r="H20">
        <v>121.4</v>
      </c>
      <c r="I20">
        <v>151.6</v>
      </c>
      <c r="J20">
        <v>155.9</v>
      </c>
      <c r="K20">
        <v>121.7</v>
      </c>
      <c r="L20">
        <v>113.5</v>
      </c>
      <c r="M20">
        <v>138.9</v>
      </c>
      <c r="N20">
        <v>130.30000000000001</v>
      </c>
      <c r="O20">
        <v>152.30000000000001</v>
      </c>
      <c r="P20">
        <v>141.4</v>
      </c>
      <c r="Q20">
        <v>157.5</v>
      </c>
      <c r="R20">
        <v>139.48571428571429</v>
      </c>
      <c r="S20">
        <v>146.80000000000001</v>
      </c>
      <c r="T20">
        <v>138.4</v>
      </c>
      <c r="U20">
        <v>145.6</v>
      </c>
      <c r="V20">
        <v>143.60000000000002</v>
      </c>
      <c r="W20">
        <v>160.5</v>
      </c>
      <c r="X20">
        <v>139.69999999999999</v>
      </c>
      <c r="Y20">
        <v>138.6</v>
      </c>
      <c r="Z20">
        <v>146.26666666666665</v>
      </c>
      <c r="AA20">
        <v>137</v>
      </c>
      <c r="AB20">
        <v>130.1</v>
      </c>
      <c r="AC20">
        <v>133.55000000000001</v>
      </c>
      <c r="AD20">
        <v>123.6</v>
      </c>
      <c r="AE20">
        <v>133.1</v>
      </c>
      <c r="AF20">
        <v>128.35</v>
      </c>
      <c r="AG20">
        <v>144.69999999999999</v>
      </c>
      <c r="AH20">
        <v>133.19999999999999</v>
      </c>
      <c r="AI20">
        <v>139.80000000000001</v>
      </c>
      <c r="AJ20">
        <v>139.23333333333332</v>
      </c>
    </row>
    <row r="21" spans="1:36">
      <c r="A21" t="s">
        <v>34</v>
      </c>
      <c r="B21">
        <v>2018</v>
      </c>
      <c r="C21" t="s">
        <v>41</v>
      </c>
      <c r="D21">
        <v>138.30000000000001</v>
      </c>
      <c r="E21">
        <v>148</v>
      </c>
      <c r="F21">
        <v>138.1</v>
      </c>
      <c r="G21">
        <v>142.6</v>
      </c>
      <c r="H21">
        <v>122.2</v>
      </c>
      <c r="I21">
        <v>150.6</v>
      </c>
      <c r="J21">
        <v>156.6</v>
      </c>
      <c r="K21">
        <v>122.4</v>
      </c>
      <c r="L21">
        <v>114.7</v>
      </c>
      <c r="M21">
        <v>139.4</v>
      </c>
      <c r="N21">
        <v>131.1</v>
      </c>
      <c r="O21">
        <v>153</v>
      </c>
      <c r="P21">
        <v>141.69999999999999</v>
      </c>
      <c r="Q21">
        <v>157.9</v>
      </c>
      <c r="R21">
        <v>139.7571428571429</v>
      </c>
      <c r="S21">
        <v>147.30000000000001</v>
      </c>
      <c r="T21">
        <v>138.80000000000001</v>
      </c>
      <c r="U21">
        <v>146.1</v>
      </c>
      <c r="V21">
        <v>144.06666666666669</v>
      </c>
      <c r="W21">
        <v>162.1</v>
      </c>
      <c r="X21">
        <v>140.9</v>
      </c>
      <c r="Y21">
        <v>139.4</v>
      </c>
      <c r="Z21">
        <v>147.46666666666667</v>
      </c>
      <c r="AA21">
        <v>137.69999999999999</v>
      </c>
      <c r="AB21">
        <v>130.1</v>
      </c>
      <c r="AC21">
        <v>133.89999999999998</v>
      </c>
      <c r="AD21">
        <v>124.3</v>
      </c>
      <c r="AE21">
        <v>133.6</v>
      </c>
      <c r="AF21">
        <v>128.94999999999999</v>
      </c>
      <c r="AG21">
        <v>146</v>
      </c>
      <c r="AH21">
        <v>133.9</v>
      </c>
      <c r="AI21">
        <v>140.4</v>
      </c>
      <c r="AJ21">
        <v>140.1</v>
      </c>
    </row>
    <row r="22" spans="1:36">
      <c r="A22" t="s">
        <v>34</v>
      </c>
      <c r="B22">
        <v>2018</v>
      </c>
      <c r="C22" t="s">
        <v>42</v>
      </c>
      <c r="D22">
        <v>138.6</v>
      </c>
      <c r="E22">
        <v>145.80000000000001</v>
      </c>
      <c r="F22">
        <v>135.1</v>
      </c>
      <c r="G22">
        <v>142.9</v>
      </c>
      <c r="H22">
        <v>122.1</v>
      </c>
      <c r="I22">
        <v>145.4</v>
      </c>
      <c r="J22">
        <v>150</v>
      </c>
      <c r="K22">
        <v>121.4</v>
      </c>
      <c r="L22">
        <v>113.7</v>
      </c>
      <c r="M22">
        <v>139.5</v>
      </c>
      <c r="N22">
        <v>130.80000000000001</v>
      </c>
      <c r="O22">
        <v>153.80000000000001</v>
      </c>
      <c r="P22">
        <v>140.4</v>
      </c>
      <c r="Q22">
        <v>159.19999999999999</v>
      </c>
      <c r="R22">
        <v>138.47857142857143</v>
      </c>
      <c r="S22">
        <v>147.69999999999999</v>
      </c>
      <c r="T22">
        <v>139.1</v>
      </c>
      <c r="U22">
        <v>146.5</v>
      </c>
      <c r="V22">
        <v>144.43333333333331</v>
      </c>
      <c r="W22">
        <v>162.1</v>
      </c>
      <c r="X22">
        <v>142.30000000000001</v>
      </c>
      <c r="Y22">
        <v>139.69999999999999</v>
      </c>
      <c r="Z22">
        <v>148.03333333333333</v>
      </c>
      <c r="AA22">
        <v>138.4</v>
      </c>
      <c r="AB22">
        <v>130.9</v>
      </c>
      <c r="AC22">
        <v>134.65</v>
      </c>
      <c r="AD22">
        <v>126</v>
      </c>
      <c r="AE22">
        <v>134.5</v>
      </c>
      <c r="AF22">
        <v>130.25</v>
      </c>
      <c r="AG22">
        <v>146.19999999999999</v>
      </c>
      <c r="AH22">
        <v>134.69999999999999</v>
      </c>
      <c r="AI22">
        <v>140.19999999999999</v>
      </c>
      <c r="AJ22">
        <v>140.36666666666665</v>
      </c>
    </row>
    <row r="23" spans="1:36">
      <c r="A23" t="s">
        <v>34</v>
      </c>
      <c r="B23">
        <v>2018</v>
      </c>
      <c r="C23" t="s">
        <v>43</v>
      </c>
      <c r="D23">
        <v>137.4</v>
      </c>
      <c r="E23">
        <v>149.5</v>
      </c>
      <c r="F23">
        <v>137.30000000000001</v>
      </c>
      <c r="G23">
        <v>141.9</v>
      </c>
      <c r="H23">
        <v>121.1</v>
      </c>
      <c r="I23">
        <v>142.5</v>
      </c>
      <c r="J23">
        <v>146.69999999999999</v>
      </c>
      <c r="K23">
        <v>119.1</v>
      </c>
      <c r="L23">
        <v>111.9</v>
      </c>
      <c r="M23">
        <v>141</v>
      </c>
      <c r="N23">
        <v>133.6</v>
      </c>
      <c r="O23">
        <v>154.5</v>
      </c>
      <c r="P23">
        <v>139.69999999999999</v>
      </c>
      <c r="Q23">
        <v>162.6</v>
      </c>
      <c r="R23">
        <v>138.48571428571429</v>
      </c>
      <c r="S23">
        <v>148</v>
      </c>
      <c r="T23">
        <v>139.19999999999999</v>
      </c>
      <c r="U23">
        <v>146.80000000000001</v>
      </c>
      <c r="V23">
        <v>144.66666666666666</v>
      </c>
      <c r="W23">
        <v>164.2</v>
      </c>
      <c r="X23">
        <v>145.30000000000001</v>
      </c>
      <c r="Y23">
        <v>142.19999999999999</v>
      </c>
      <c r="Z23">
        <v>150.56666666666666</v>
      </c>
      <c r="AA23">
        <v>142.1</v>
      </c>
      <c r="AB23">
        <v>132</v>
      </c>
      <c r="AC23">
        <v>137.05000000000001</v>
      </c>
      <c r="AD23">
        <v>125.5</v>
      </c>
      <c r="AE23">
        <v>136.5</v>
      </c>
      <c r="AF23">
        <v>131</v>
      </c>
      <c r="AG23">
        <v>147.80000000000001</v>
      </c>
      <c r="AH23">
        <v>136.30000000000001</v>
      </c>
      <c r="AI23">
        <v>140.80000000000001</v>
      </c>
      <c r="AJ23">
        <v>141.63333333333335</v>
      </c>
    </row>
    <row r="24" spans="1:36">
      <c r="A24" t="s">
        <v>34</v>
      </c>
      <c r="B24">
        <v>2018</v>
      </c>
      <c r="C24" t="s">
        <v>45</v>
      </c>
      <c r="D24">
        <v>137.4</v>
      </c>
      <c r="E24">
        <v>149.19999999999999</v>
      </c>
      <c r="F24">
        <v>137.1</v>
      </c>
      <c r="G24">
        <v>141.80000000000001</v>
      </c>
      <c r="H24">
        <v>121.1</v>
      </c>
      <c r="I24">
        <v>142.80000000000001</v>
      </c>
      <c r="J24">
        <v>146.69999999999999</v>
      </c>
      <c r="K24">
        <v>119.1</v>
      </c>
      <c r="L24">
        <v>111.9</v>
      </c>
      <c r="M24">
        <v>140.9</v>
      </c>
      <c r="N24">
        <v>133.5</v>
      </c>
      <c r="O24">
        <v>154.5</v>
      </c>
      <c r="P24">
        <v>139.69999999999999</v>
      </c>
      <c r="Q24">
        <v>162.6</v>
      </c>
      <c r="R24">
        <v>138.45000000000002</v>
      </c>
      <c r="S24">
        <v>148</v>
      </c>
      <c r="T24">
        <v>139.1</v>
      </c>
      <c r="U24">
        <v>146.69999999999999</v>
      </c>
      <c r="V24">
        <v>144.6</v>
      </c>
      <c r="W24">
        <v>163.4</v>
      </c>
      <c r="X24">
        <v>145.1</v>
      </c>
      <c r="Y24">
        <v>142.19999999999999</v>
      </c>
      <c r="Z24">
        <v>150.23333333333332</v>
      </c>
      <c r="AA24">
        <v>142.1</v>
      </c>
      <c r="AB24">
        <v>132</v>
      </c>
      <c r="AC24">
        <v>137.05000000000001</v>
      </c>
      <c r="AD24">
        <v>125.5</v>
      </c>
      <c r="AE24">
        <v>136.5</v>
      </c>
      <c r="AF24">
        <v>131</v>
      </c>
      <c r="AG24">
        <v>147.80000000000001</v>
      </c>
      <c r="AH24">
        <v>136.30000000000001</v>
      </c>
      <c r="AI24">
        <v>140.80000000000001</v>
      </c>
      <c r="AJ24">
        <v>141.63333333333335</v>
      </c>
    </row>
    <row r="25" spans="1:36">
      <c r="A25" t="s">
        <v>34</v>
      </c>
      <c r="B25">
        <v>2018</v>
      </c>
      <c r="C25" t="s">
        <v>46</v>
      </c>
      <c r="D25">
        <v>137.5</v>
      </c>
      <c r="E25">
        <v>150.5</v>
      </c>
      <c r="F25">
        <v>138.80000000000001</v>
      </c>
      <c r="G25">
        <v>142.1</v>
      </c>
      <c r="H25">
        <v>122</v>
      </c>
      <c r="I25">
        <v>139.4</v>
      </c>
      <c r="J25">
        <v>135.19999999999999</v>
      </c>
      <c r="K25">
        <v>119.8</v>
      </c>
      <c r="L25">
        <v>110.3</v>
      </c>
      <c r="M25">
        <v>140.6</v>
      </c>
      <c r="N25">
        <v>133.80000000000001</v>
      </c>
      <c r="O25">
        <v>154.6</v>
      </c>
      <c r="P25">
        <v>138.19999999999999</v>
      </c>
      <c r="Q25">
        <v>163</v>
      </c>
      <c r="R25">
        <v>137.55714285714285</v>
      </c>
      <c r="S25">
        <v>148.1</v>
      </c>
      <c r="T25">
        <v>139.4</v>
      </c>
      <c r="U25">
        <v>146.80000000000001</v>
      </c>
      <c r="V25">
        <v>144.76666666666668</v>
      </c>
      <c r="W25">
        <v>165.5</v>
      </c>
      <c r="X25">
        <v>142.69999999999999</v>
      </c>
      <c r="Y25">
        <v>143.19999999999999</v>
      </c>
      <c r="Z25">
        <v>150.46666666666667</v>
      </c>
      <c r="AA25">
        <v>144.9</v>
      </c>
      <c r="AB25">
        <v>132.19999999999999</v>
      </c>
      <c r="AC25">
        <v>138.55000000000001</v>
      </c>
      <c r="AD25">
        <v>123.6</v>
      </c>
      <c r="AE25">
        <v>136.80000000000001</v>
      </c>
      <c r="AF25">
        <v>130.19999999999999</v>
      </c>
      <c r="AG25">
        <v>150.1</v>
      </c>
      <c r="AH25">
        <v>136.80000000000001</v>
      </c>
      <c r="AI25">
        <v>140.1</v>
      </c>
      <c r="AJ25">
        <v>142.33333333333334</v>
      </c>
    </row>
    <row r="26" spans="1:36">
      <c r="A26" t="s">
        <v>34</v>
      </c>
      <c r="B26">
        <v>2019</v>
      </c>
      <c r="C26" t="s">
        <v>31</v>
      </c>
      <c r="D26">
        <v>137.1</v>
      </c>
      <c r="E26">
        <v>151.4</v>
      </c>
      <c r="F26">
        <v>140.19999999999999</v>
      </c>
      <c r="G26">
        <v>142.1</v>
      </c>
      <c r="H26">
        <v>121.8</v>
      </c>
      <c r="I26">
        <v>135.4</v>
      </c>
      <c r="J26">
        <v>131.30000000000001</v>
      </c>
      <c r="K26">
        <v>120.3</v>
      </c>
      <c r="L26">
        <v>109.1</v>
      </c>
      <c r="M26">
        <v>139.4</v>
      </c>
      <c r="N26">
        <v>133.30000000000001</v>
      </c>
      <c r="O26">
        <v>154.6</v>
      </c>
      <c r="P26">
        <v>137.4</v>
      </c>
      <c r="Q26">
        <v>163.19999999999999</v>
      </c>
      <c r="R26">
        <v>136.9</v>
      </c>
      <c r="S26">
        <v>147.6</v>
      </c>
      <c r="T26">
        <v>139</v>
      </c>
      <c r="U26">
        <v>146.4</v>
      </c>
      <c r="V26">
        <v>144.33333333333334</v>
      </c>
      <c r="W26">
        <v>165.3</v>
      </c>
      <c r="X26">
        <v>139.5</v>
      </c>
      <c r="Y26">
        <v>143.6</v>
      </c>
      <c r="Z26">
        <v>149.46666666666667</v>
      </c>
      <c r="AA26">
        <v>145.1</v>
      </c>
      <c r="AB26">
        <v>132.80000000000001</v>
      </c>
      <c r="AC26">
        <v>138.94999999999999</v>
      </c>
      <c r="AD26">
        <v>123.3</v>
      </c>
      <c r="AE26">
        <v>136.69999999999999</v>
      </c>
      <c r="AF26">
        <v>130</v>
      </c>
      <c r="AG26">
        <v>150.19999999999999</v>
      </c>
      <c r="AH26">
        <v>136.9</v>
      </c>
      <c r="AI26">
        <v>139.6</v>
      </c>
      <c r="AJ26">
        <v>142.23333333333335</v>
      </c>
    </row>
    <row r="27" spans="1:36">
      <c r="A27" t="s">
        <v>34</v>
      </c>
      <c r="B27">
        <v>2019</v>
      </c>
      <c r="C27" t="s">
        <v>35</v>
      </c>
      <c r="D27">
        <v>137.6</v>
      </c>
      <c r="E27">
        <v>152</v>
      </c>
      <c r="F27">
        <v>141.5</v>
      </c>
      <c r="G27">
        <v>142.19999999999999</v>
      </c>
      <c r="H27">
        <v>122</v>
      </c>
      <c r="I27">
        <v>136.4</v>
      </c>
      <c r="J27">
        <v>129.69999999999999</v>
      </c>
      <c r="K27">
        <v>121</v>
      </c>
      <c r="L27">
        <v>109</v>
      </c>
      <c r="M27">
        <v>139.69999999999999</v>
      </c>
      <c r="N27">
        <v>133.6</v>
      </c>
      <c r="O27">
        <v>154.9</v>
      </c>
      <c r="P27">
        <v>137.5</v>
      </c>
      <c r="Q27">
        <v>163.4</v>
      </c>
      <c r="R27">
        <v>137.17857142857142</v>
      </c>
      <c r="S27">
        <v>147.69999999999999</v>
      </c>
      <c r="T27">
        <v>139.69999999999999</v>
      </c>
      <c r="U27">
        <v>146.5</v>
      </c>
      <c r="V27">
        <v>144.63333333333333</v>
      </c>
      <c r="W27">
        <v>167.5</v>
      </c>
      <c r="X27">
        <v>138.4</v>
      </c>
      <c r="Y27">
        <v>143.69999999999999</v>
      </c>
      <c r="Z27">
        <v>149.86666666666665</v>
      </c>
      <c r="AA27">
        <v>145.6</v>
      </c>
      <c r="AB27">
        <v>134.1</v>
      </c>
      <c r="AC27">
        <v>139.85</v>
      </c>
      <c r="AD27">
        <v>123.9</v>
      </c>
      <c r="AE27">
        <v>137.1</v>
      </c>
      <c r="AF27">
        <v>130.5</v>
      </c>
      <c r="AG27">
        <v>150.30000000000001</v>
      </c>
      <c r="AH27">
        <v>137.4</v>
      </c>
      <c r="AI27">
        <v>139.9</v>
      </c>
      <c r="AJ27">
        <v>142.53333333333333</v>
      </c>
    </row>
    <row r="28" spans="1:36">
      <c r="A28" t="s">
        <v>34</v>
      </c>
      <c r="B28">
        <v>2019</v>
      </c>
      <c r="C28" t="s">
        <v>36</v>
      </c>
      <c r="D28">
        <v>137.80000000000001</v>
      </c>
      <c r="E28">
        <v>153</v>
      </c>
      <c r="F28">
        <v>140.30000000000001</v>
      </c>
      <c r="G28">
        <v>142.30000000000001</v>
      </c>
      <c r="H28">
        <v>122</v>
      </c>
      <c r="I28">
        <v>137.6</v>
      </c>
      <c r="J28">
        <v>132.6</v>
      </c>
      <c r="K28">
        <v>121.8</v>
      </c>
      <c r="L28">
        <v>109</v>
      </c>
      <c r="M28">
        <v>139.5</v>
      </c>
      <c r="N28">
        <v>133.69999999999999</v>
      </c>
      <c r="O28">
        <v>155.19999999999999</v>
      </c>
      <c r="P28">
        <v>138.1</v>
      </c>
      <c r="Q28">
        <v>163.5</v>
      </c>
      <c r="R28">
        <v>137.6</v>
      </c>
      <c r="S28">
        <v>147.9</v>
      </c>
      <c r="T28">
        <v>139.9</v>
      </c>
      <c r="U28">
        <v>146.69999999999999</v>
      </c>
      <c r="V28">
        <v>144.83333333333334</v>
      </c>
      <c r="W28">
        <v>166.8</v>
      </c>
      <c r="X28">
        <v>139.69999999999999</v>
      </c>
      <c r="Y28">
        <v>143.80000000000001</v>
      </c>
      <c r="Z28">
        <v>150.1</v>
      </c>
      <c r="AA28">
        <v>146.19999999999999</v>
      </c>
      <c r="AB28">
        <v>133.4</v>
      </c>
      <c r="AC28">
        <v>139.80000000000001</v>
      </c>
      <c r="AD28">
        <v>124.6</v>
      </c>
      <c r="AE28">
        <v>137.69999999999999</v>
      </c>
      <c r="AF28">
        <v>131.14999999999998</v>
      </c>
      <c r="AG28">
        <v>150.30000000000001</v>
      </c>
      <c r="AH28">
        <v>137.69999999999999</v>
      </c>
      <c r="AI28">
        <v>140.4</v>
      </c>
      <c r="AJ28">
        <v>142.79999999999998</v>
      </c>
    </row>
    <row r="29" spans="1:36">
      <c r="A29" t="s">
        <v>34</v>
      </c>
      <c r="B29">
        <v>2019</v>
      </c>
      <c r="C29" t="s">
        <v>38</v>
      </c>
      <c r="D29">
        <v>138.30000000000001</v>
      </c>
      <c r="E29">
        <v>158.5</v>
      </c>
      <c r="F29">
        <v>136</v>
      </c>
      <c r="G29">
        <v>142.5</v>
      </c>
      <c r="H29">
        <v>122</v>
      </c>
      <c r="I29">
        <v>146.5</v>
      </c>
      <c r="J29">
        <v>143</v>
      </c>
      <c r="K29">
        <v>124.9</v>
      </c>
      <c r="L29">
        <v>109.9</v>
      </c>
      <c r="M29">
        <v>139.9</v>
      </c>
      <c r="N29">
        <v>134</v>
      </c>
      <c r="O29">
        <v>155.5</v>
      </c>
      <c r="P29">
        <v>140.9</v>
      </c>
      <c r="Q29">
        <v>164.1</v>
      </c>
      <c r="R29">
        <v>139.71428571428572</v>
      </c>
      <c r="S29">
        <v>148.4</v>
      </c>
      <c r="T29">
        <v>140.4</v>
      </c>
      <c r="U29">
        <v>147.30000000000001</v>
      </c>
      <c r="V29">
        <v>145.36666666666667</v>
      </c>
      <c r="W29">
        <v>169</v>
      </c>
      <c r="X29">
        <v>140.30000000000001</v>
      </c>
      <c r="Y29">
        <v>143.69999999999999</v>
      </c>
      <c r="Z29">
        <v>151</v>
      </c>
      <c r="AA29">
        <v>146.9</v>
      </c>
      <c r="AB29">
        <v>133.4</v>
      </c>
      <c r="AC29">
        <v>140.15</v>
      </c>
      <c r="AD29">
        <v>124.9</v>
      </c>
      <c r="AE29">
        <v>139.19999999999999</v>
      </c>
      <c r="AF29">
        <v>132.05000000000001</v>
      </c>
      <c r="AG29">
        <v>151.6</v>
      </c>
      <c r="AH29">
        <v>138.19999999999999</v>
      </c>
      <c r="AI29">
        <v>142</v>
      </c>
      <c r="AJ29">
        <v>143.93333333333331</v>
      </c>
    </row>
    <row r="30" spans="1:36">
      <c r="A30" t="s">
        <v>34</v>
      </c>
      <c r="B30">
        <v>2019</v>
      </c>
      <c r="C30" t="s">
        <v>39</v>
      </c>
      <c r="D30">
        <v>138.69999999999999</v>
      </c>
      <c r="E30">
        <v>162.1</v>
      </c>
      <c r="F30">
        <v>137.80000000000001</v>
      </c>
      <c r="G30">
        <v>143.30000000000001</v>
      </c>
      <c r="H30">
        <v>122.2</v>
      </c>
      <c r="I30">
        <v>146.80000000000001</v>
      </c>
      <c r="J30">
        <v>150.5</v>
      </c>
      <c r="K30">
        <v>128.30000000000001</v>
      </c>
      <c r="L30">
        <v>111</v>
      </c>
      <c r="M30">
        <v>140.6</v>
      </c>
      <c r="N30">
        <v>134.19999999999999</v>
      </c>
      <c r="O30">
        <v>155.9</v>
      </c>
      <c r="P30">
        <v>142.69999999999999</v>
      </c>
      <c r="Q30">
        <v>164.9</v>
      </c>
      <c r="R30">
        <v>141.35714285714286</v>
      </c>
      <c r="S30">
        <v>148.6</v>
      </c>
      <c r="T30">
        <v>140.4</v>
      </c>
      <c r="U30">
        <v>147.4</v>
      </c>
      <c r="V30">
        <v>145.46666666666667</v>
      </c>
      <c r="W30">
        <v>169.5</v>
      </c>
      <c r="X30">
        <v>141.19999999999999</v>
      </c>
      <c r="Y30">
        <v>143.80000000000001</v>
      </c>
      <c r="Z30">
        <v>151.5</v>
      </c>
      <c r="AA30">
        <v>147.4</v>
      </c>
      <c r="AB30">
        <v>134.30000000000001</v>
      </c>
      <c r="AC30">
        <v>140.85000000000002</v>
      </c>
      <c r="AD30">
        <v>124.6</v>
      </c>
      <c r="AE30">
        <v>139.6</v>
      </c>
      <c r="AF30">
        <v>132.1</v>
      </c>
      <c r="AG30">
        <v>152.5</v>
      </c>
      <c r="AH30">
        <v>138.6</v>
      </c>
      <c r="AI30">
        <v>142.9</v>
      </c>
      <c r="AJ30">
        <v>144.66666666666666</v>
      </c>
    </row>
    <row r="31" spans="1:36">
      <c r="A31" t="s">
        <v>34</v>
      </c>
      <c r="B31">
        <v>2019</v>
      </c>
      <c r="C31" t="s">
        <v>40</v>
      </c>
      <c r="D31">
        <v>139.30000000000001</v>
      </c>
      <c r="E31">
        <v>162.69999999999999</v>
      </c>
      <c r="F31">
        <v>140</v>
      </c>
      <c r="G31">
        <v>144</v>
      </c>
      <c r="H31">
        <v>122.5</v>
      </c>
      <c r="I31">
        <v>150.30000000000001</v>
      </c>
      <c r="J31">
        <v>160.30000000000001</v>
      </c>
      <c r="K31">
        <v>130</v>
      </c>
      <c r="L31">
        <v>111.1</v>
      </c>
      <c r="M31">
        <v>141.69999999999999</v>
      </c>
      <c r="N31">
        <v>134.69999999999999</v>
      </c>
      <c r="O31">
        <v>156.19999999999999</v>
      </c>
      <c r="P31">
        <v>144.69999999999999</v>
      </c>
      <c r="Q31">
        <v>165.2</v>
      </c>
      <c r="R31">
        <v>143.05000000000001</v>
      </c>
      <c r="S31">
        <v>148.9</v>
      </c>
      <c r="T31">
        <v>140.5</v>
      </c>
      <c r="U31">
        <v>147.6</v>
      </c>
      <c r="V31">
        <v>145.66666666666666</v>
      </c>
      <c r="W31">
        <v>171.8</v>
      </c>
      <c r="X31">
        <v>139.30000000000001</v>
      </c>
      <c r="Y31">
        <v>144.19999999999999</v>
      </c>
      <c r="Z31">
        <v>151.76666666666668</v>
      </c>
      <c r="AA31">
        <v>147.9</v>
      </c>
      <c r="AB31">
        <v>135.69999999999999</v>
      </c>
      <c r="AC31">
        <v>141.80000000000001</v>
      </c>
      <c r="AD31">
        <v>125.6</v>
      </c>
      <c r="AE31">
        <v>140.5</v>
      </c>
      <c r="AF31">
        <v>133.05000000000001</v>
      </c>
      <c r="AG31">
        <v>154</v>
      </c>
      <c r="AH31">
        <v>139.5</v>
      </c>
      <c r="AI31">
        <v>144.19999999999999</v>
      </c>
      <c r="AJ31">
        <v>145.9</v>
      </c>
    </row>
    <row r="32" spans="1:36">
      <c r="A32" t="s">
        <v>34</v>
      </c>
      <c r="B32">
        <v>2019</v>
      </c>
      <c r="C32" t="s">
        <v>41</v>
      </c>
      <c r="D32">
        <v>140.1</v>
      </c>
      <c r="E32">
        <v>160.6</v>
      </c>
      <c r="F32">
        <v>138.5</v>
      </c>
      <c r="G32">
        <v>144.69999999999999</v>
      </c>
      <c r="H32">
        <v>122.9</v>
      </c>
      <c r="I32">
        <v>149.4</v>
      </c>
      <c r="J32">
        <v>167.4</v>
      </c>
      <c r="K32">
        <v>130.9</v>
      </c>
      <c r="L32">
        <v>112</v>
      </c>
      <c r="M32">
        <v>142.6</v>
      </c>
      <c r="N32">
        <v>134.9</v>
      </c>
      <c r="O32">
        <v>156.6</v>
      </c>
      <c r="P32">
        <v>145.9</v>
      </c>
      <c r="Q32">
        <v>165.8</v>
      </c>
      <c r="R32">
        <v>143.73571428571429</v>
      </c>
      <c r="S32">
        <v>149.1</v>
      </c>
      <c r="T32">
        <v>140.6</v>
      </c>
      <c r="U32">
        <v>147.9</v>
      </c>
      <c r="V32">
        <v>145.86666666666667</v>
      </c>
      <c r="W32">
        <v>170.7</v>
      </c>
      <c r="X32">
        <v>138.5</v>
      </c>
      <c r="Y32">
        <v>144.5</v>
      </c>
      <c r="Z32">
        <v>151.23333333333332</v>
      </c>
      <c r="AA32">
        <v>148.5</v>
      </c>
      <c r="AB32">
        <v>138.4</v>
      </c>
      <c r="AC32">
        <v>143.44999999999999</v>
      </c>
      <c r="AD32">
        <v>125.8</v>
      </c>
      <c r="AE32">
        <v>140.9</v>
      </c>
      <c r="AF32">
        <v>133.35</v>
      </c>
      <c r="AG32">
        <v>154.9</v>
      </c>
      <c r="AH32">
        <v>140.19999999999999</v>
      </c>
      <c r="AI32">
        <v>145</v>
      </c>
      <c r="AJ32">
        <v>146.70000000000002</v>
      </c>
    </row>
    <row r="33" spans="1:36">
      <c r="A33" t="s">
        <v>34</v>
      </c>
      <c r="B33">
        <v>2019</v>
      </c>
      <c r="C33" t="s">
        <v>42</v>
      </c>
      <c r="D33">
        <v>140.9</v>
      </c>
      <c r="E33">
        <v>160.80000000000001</v>
      </c>
      <c r="F33">
        <v>139.6</v>
      </c>
      <c r="G33">
        <v>145.4</v>
      </c>
      <c r="H33">
        <v>123.5</v>
      </c>
      <c r="I33">
        <v>146.6</v>
      </c>
      <c r="J33">
        <v>173.2</v>
      </c>
      <c r="K33">
        <v>131.6</v>
      </c>
      <c r="L33">
        <v>113.2</v>
      </c>
      <c r="M33">
        <v>144.1</v>
      </c>
      <c r="N33">
        <v>135</v>
      </c>
      <c r="O33">
        <v>156.80000000000001</v>
      </c>
      <c r="P33">
        <v>147</v>
      </c>
      <c r="Q33">
        <v>166.5</v>
      </c>
      <c r="R33">
        <v>144.58571428571426</v>
      </c>
      <c r="S33">
        <v>149.19999999999999</v>
      </c>
      <c r="T33">
        <v>140.6</v>
      </c>
      <c r="U33">
        <v>147.9</v>
      </c>
      <c r="V33">
        <v>145.89999999999998</v>
      </c>
      <c r="W33">
        <v>173.5</v>
      </c>
      <c r="X33">
        <v>139.19999999999999</v>
      </c>
      <c r="Y33">
        <v>144.6</v>
      </c>
      <c r="Z33">
        <v>152.43333333333331</v>
      </c>
      <c r="AA33">
        <v>149</v>
      </c>
      <c r="AB33">
        <v>139.69999999999999</v>
      </c>
      <c r="AC33">
        <v>144.35</v>
      </c>
      <c r="AD33">
        <v>126.1</v>
      </c>
      <c r="AE33">
        <v>141.30000000000001</v>
      </c>
      <c r="AF33">
        <v>133.69999999999999</v>
      </c>
      <c r="AG33">
        <v>155.19999999999999</v>
      </c>
      <c r="AH33">
        <v>140.69999999999999</v>
      </c>
      <c r="AI33">
        <v>145.80000000000001</v>
      </c>
      <c r="AJ33">
        <v>147.23333333333332</v>
      </c>
    </row>
    <row r="34" spans="1:36">
      <c r="A34" t="s">
        <v>34</v>
      </c>
      <c r="B34">
        <v>2019</v>
      </c>
      <c r="C34" t="s">
        <v>43</v>
      </c>
      <c r="D34">
        <v>141.80000000000001</v>
      </c>
      <c r="E34">
        <v>161</v>
      </c>
      <c r="F34">
        <v>142.6</v>
      </c>
      <c r="G34">
        <v>146.19999999999999</v>
      </c>
      <c r="H34">
        <v>123.9</v>
      </c>
      <c r="I34">
        <v>148</v>
      </c>
      <c r="J34">
        <v>188.4</v>
      </c>
      <c r="K34">
        <v>132.5</v>
      </c>
      <c r="L34">
        <v>114</v>
      </c>
      <c r="M34">
        <v>145.4</v>
      </c>
      <c r="N34">
        <v>135.1</v>
      </c>
      <c r="O34">
        <v>157.1</v>
      </c>
      <c r="P34">
        <v>149.6</v>
      </c>
      <c r="Q34">
        <v>167.1</v>
      </c>
      <c r="R34">
        <v>146.62142857142857</v>
      </c>
      <c r="S34">
        <v>149.4</v>
      </c>
      <c r="T34">
        <v>140.80000000000001</v>
      </c>
      <c r="U34">
        <v>148.19999999999999</v>
      </c>
      <c r="V34">
        <v>146.13333333333335</v>
      </c>
      <c r="W34">
        <v>173.5</v>
      </c>
      <c r="X34">
        <v>140.6</v>
      </c>
      <c r="Y34">
        <v>145</v>
      </c>
      <c r="Z34">
        <v>153.03333333333333</v>
      </c>
      <c r="AA34">
        <v>149.4</v>
      </c>
      <c r="AB34">
        <v>140</v>
      </c>
      <c r="AC34">
        <v>144.69999999999999</v>
      </c>
      <c r="AD34">
        <v>126.3</v>
      </c>
      <c r="AE34">
        <v>141.69999999999999</v>
      </c>
      <c r="AF34">
        <v>134</v>
      </c>
      <c r="AG34">
        <v>155.4</v>
      </c>
      <c r="AH34">
        <v>141</v>
      </c>
      <c r="AI34">
        <v>147.19999999999999</v>
      </c>
      <c r="AJ34">
        <v>147.86666666666665</v>
      </c>
    </row>
    <row r="35" spans="1:36">
      <c r="A35" t="s">
        <v>34</v>
      </c>
      <c r="B35">
        <v>2019</v>
      </c>
      <c r="C35" t="s">
        <v>45</v>
      </c>
      <c r="D35">
        <v>142.5</v>
      </c>
      <c r="E35">
        <v>163.19999999999999</v>
      </c>
      <c r="F35">
        <v>145.6</v>
      </c>
      <c r="G35">
        <v>146.69999999999999</v>
      </c>
      <c r="H35">
        <v>124.3</v>
      </c>
      <c r="I35">
        <v>147.4</v>
      </c>
      <c r="J35">
        <v>199.6</v>
      </c>
      <c r="K35">
        <v>135.69999999999999</v>
      </c>
      <c r="L35">
        <v>114.2</v>
      </c>
      <c r="M35">
        <v>147</v>
      </c>
      <c r="N35">
        <v>135.30000000000001</v>
      </c>
      <c r="O35">
        <v>157.5</v>
      </c>
      <c r="P35">
        <v>151.9</v>
      </c>
      <c r="Q35">
        <v>167.9</v>
      </c>
      <c r="R35">
        <v>148.48571428571429</v>
      </c>
      <c r="S35">
        <v>149.9</v>
      </c>
      <c r="T35">
        <v>141</v>
      </c>
      <c r="U35">
        <v>148.6</v>
      </c>
      <c r="V35">
        <v>146.5</v>
      </c>
      <c r="W35">
        <v>175.6</v>
      </c>
      <c r="X35">
        <v>142.30000000000001</v>
      </c>
      <c r="Y35">
        <v>145.30000000000001</v>
      </c>
      <c r="Z35">
        <v>154.4</v>
      </c>
      <c r="AA35">
        <v>149.9</v>
      </c>
      <c r="AB35">
        <v>140.30000000000001</v>
      </c>
      <c r="AC35">
        <v>145.10000000000002</v>
      </c>
      <c r="AD35">
        <v>126.6</v>
      </c>
      <c r="AE35">
        <v>142.1</v>
      </c>
      <c r="AF35">
        <v>134.35</v>
      </c>
      <c r="AG35">
        <v>155.5</v>
      </c>
      <c r="AH35">
        <v>141.30000000000001</v>
      </c>
      <c r="AI35">
        <v>148.6</v>
      </c>
      <c r="AJ35">
        <v>148.46666666666667</v>
      </c>
    </row>
    <row r="36" spans="1:36">
      <c r="A36" t="s">
        <v>34</v>
      </c>
      <c r="B36">
        <v>2019</v>
      </c>
      <c r="C36" t="s">
        <v>46</v>
      </c>
      <c r="D36">
        <v>143.5</v>
      </c>
      <c r="E36">
        <v>165</v>
      </c>
      <c r="F36">
        <v>151.1</v>
      </c>
      <c r="G36">
        <v>148.30000000000001</v>
      </c>
      <c r="H36">
        <v>125.7</v>
      </c>
      <c r="I36">
        <v>145.69999999999999</v>
      </c>
      <c r="J36">
        <v>217</v>
      </c>
      <c r="K36">
        <v>138.30000000000001</v>
      </c>
      <c r="L36">
        <v>114</v>
      </c>
      <c r="M36">
        <v>148.69999999999999</v>
      </c>
      <c r="N36">
        <v>135.80000000000001</v>
      </c>
      <c r="O36">
        <v>158</v>
      </c>
      <c r="P36">
        <v>155</v>
      </c>
      <c r="Q36">
        <v>168.5</v>
      </c>
      <c r="R36">
        <v>151.04285714285717</v>
      </c>
      <c r="S36">
        <v>150.30000000000001</v>
      </c>
      <c r="T36">
        <v>141.30000000000001</v>
      </c>
      <c r="U36">
        <v>149</v>
      </c>
      <c r="V36">
        <v>146.86666666666667</v>
      </c>
      <c r="W36" t="s">
        <v>127</v>
      </c>
      <c r="X36">
        <v>143.69999999999999</v>
      </c>
      <c r="Y36">
        <v>145.80000000000001</v>
      </c>
      <c r="Z36">
        <v>144.75</v>
      </c>
      <c r="AA36">
        <v>150.4</v>
      </c>
      <c r="AB36">
        <v>140.4</v>
      </c>
      <c r="AC36">
        <v>145.4</v>
      </c>
      <c r="AD36">
        <v>129.80000000000001</v>
      </c>
      <c r="AE36">
        <v>142.30000000000001</v>
      </c>
      <c r="AF36">
        <v>136.05000000000001</v>
      </c>
      <c r="AG36">
        <v>155.69999999999999</v>
      </c>
      <c r="AH36">
        <v>142.5</v>
      </c>
      <c r="AI36">
        <v>150.4</v>
      </c>
      <c r="AJ36">
        <v>149.53333333333333</v>
      </c>
    </row>
    <row r="37" spans="1:36">
      <c r="A37" t="s">
        <v>34</v>
      </c>
      <c r="B37">
        <v>2020</v>
      </c>
      <c r="C37" t="s">
        <v>31</v>
      </c>
      <c r="D37">
        <v>144.30000000000001</v>
      </c>
      <c r="E37">
        <v>167.4</v>
      </c>
      <c r="F37">
        <v>154.9</v>
      </c>
      <c r="G37">
        <v>150.1</v>
      </c>
      <c r="H37">
        <v>129.9</v>
      </c>
      <c r="I37">
        <v>143.19999999999999</v>
      </c>
      <c r="J37">
        <v>197</v>
      </c>
      <c r="K37">
        <v>140.4</v>
      </c>
      <c r="L37">
        <v>114.1</v>
      </c>
      <c r="M37">
        <v>150.9</v>
      </c>
      <c r="N37">
        <v>136.1</v>
      </c>
      <c r="O37">
        <v>158.6</v>
      </c>
      <c r="P37">
        <v>153.5</v>
      </c>
      <c r="Q37">
        <v>169.2</v>
      </c>
      <c r="R37">
        <v>150.68571428571428</v>
      </c>
      <c r="S37">
        <v>150.5</v>
      </c>
      <c r="T37">
        <v>141.5</v>
      </c>
      <c r="U37">
        <v>149.19999999999999</v>
      </c>
      <c r="V37">
        <v>147.06666666666666</v>
      </c>
      <c r="W37" t="s">
        <v>128</v>
      </c>
      <c r="X37">
        <v>144.6</v>
      </c>
      <c r="Y37">
        <v>146.19999999999999</v>
      </c>
      <c r="Z37">
        <v>145.39999999999998</v>
      </c>
      <c r="AA37">
        <v>151.19999999999999</v>
      </c>
      <c r="AB37">
        <v>142.30000000000001</v>
      </c>
      <c r="AC37">
        <v>146.75</v>
      </c>
      <c r="AD37">
        <v>130.9</v>
      </c>
      <c r="AE37">
        <v>142.80000000000001</v>
      </c>
      <c r="AF37">
        <v>136.85000000000002</v>
      </c>
      <c r="AG37">
        <v>156.1</v>
      </c>
      <c r="AH37">
        <v>143.4</v>
      </c>
      <c r="AI37">
        <v>150.19999999999999</v>
      </c>
      <c r="AJ37">
        <v>149.9</v>
      </c>
    </row>
    <row r="38" spans="1:36">
      <c r="A38" t="s">
        <v>34</v>
      </c>
      <c r="B38">
        <v>2020</v>
      </c>
      <c r="C38" t="s">
        <v>35</v>
      </c>
      <c r="D38">
        <v>144.80000000000001</v>
      </c>
      <c r="E38">
        <v>167.5</v>
      </c>
      <c r="F38">
        <v>151.80000000000001</v>
      </c>
      <c r="G38">
        <v>150.80000000000001</v>
      </c>
      <c r="H38">
        <v>131.4</v>
      </c>
      <c r="I38">
        <v>141.80000000000001</v>
      </c>
      <c r="J38">
        <v>170.7</v>
      </c>
      <c r="K38">
        <v>141.1</v>
      </c>
      <c r="L38">
        <v>113.6</v>
      </c>
      <c r="M38">
        <v>152</v>
      </c>
      <c r="N38">
        <v>136.5</v>
      </c>
      <c r="O38">
        <v>159.1</v>
      </c>
      <c r="P38">
        <v>150.5</v>
      </c>
      <c r="Q38">
        <v>170.1</v>
      </c>
      <c r="R38">
        <v>148.69285714285712</v>
      </c>
      <c r="S38">
        <v>150.80000000000001</v>
      </c>
      <c r="T38">
        <v>141.69999999999999</v>
      </c>
      <c r="U38">
        <v>149.5</v>
      </c>
      <c r="V38">
        <v>147.33333333333334</v>
      </c>
      <c r="W38" t="s">
        <v>129</v>
      </c>
      <c r="X38">
        <v>147.19999999999999</v>
      </c>
      <c r="Y38">
        <v>146.4</v>
      </c>
      <c r="Z38">
        <v>146.80000000000001</v>
      </c>
      <c r="AA38">
        <v>151.69999999999999</v>
      </c>
      <c r="AB38">
        <v>143.4</v>
      </c>
      <c r="AC38">
        <v>147.55000000000001</v>
      </c>
      <c r="AD38">
        <v>130.30000000000001</v>
      </c>
      <c r="AE38">
        <v>143.19999999999999</v>
      </c>
      <c r="AF38">
        <v>136.75</v>
      </c>
      <c r="AG38">
        <v>156.19999999999999</v>
      </c>
      <c r="AH38">
        <v>143.6</v>
      </c>
      <c r="AI38">
        <v>149.1</v>
      </c>
      <c r="AJ38">
        <v>149.63333333333333</v>
      </c>
    </row>
    <row r="39" spans="1:36">
      <c r="A39" t="s">
        <v>34</v>
      </c>
      <c r="B39">
        <v>2020</v>
      </c>
      <c r="C39" t="s">
        <v>36</v>
      </c>
      <c r="D39">
        <v>145.1</v>
      </c>
      <c r="E39">
        <v>167</v>
      </c>
      <c r="F39">
        <v>148.1</v>
      </c>
      <c r="G39">
        <v>151.5</v>
      </c>
      <c r="H39">
        <v>131.19999999999999</v>
      </c>
      <c r="I39">
        <v>142.5</v>
      </c>
      <c r="J39">
        <v>157.30000000000001</v>
      </c>
      <c r="K39">
        <v>141.1</v>
      </c>
      <c r="L39">
        <v>113.2</v>
      </c>
      <c r="M39">
        <v>153.19999999999999</v>
      </c>
      <c r="N39">
        <v>136.69999999999999</v>
      </c>
      <c r="O39">
        <v>159.6</v>
      </c>
      <c r="P39">
        <v>148.9</v>
      </c>
      <c r="Q39">
        <v>171.2</v>
      </c>
      <c r="R39">
        <v>147.6142857142857</v>
      </c>
      <c r="S39">
        <v>151.19999999999999</v>
      </c>
      <c r="T39">
        <v>141.9</v>
      </c>
      <c r="U39">
        <v>149.80000000000001</v>
      </c>
      <c r="V39">
        <v>147.63333333333335</v>
      </c>
      <c r="W39" t="s">
        <v>130</v>
      </c>
      <c r="X39">
        <v>148.9</v>
      </c>
      <c r="Y39">
        <v>146.4</v>
      </c>
      <c r="Z39">
        <v>147.65</v>
      </c>
      <c r="AA39">
        <v>152.30000000000001</v>
      </c>
      <c r="AB39">
        <v>145.19999999999999</v>
      </c>
      <c r="AC39">
        <v>148.75</v>
      </c>
      <c r="AD39">
        <v>129.9</v>
      </c>
      <c r="AE39">
        <v>143.69999999999999</v>
      </c>
      <c r="AF39">
        <v>136.80000000000001</v>
      </c>
      <c r="AG39">
        <v>156.1</v>
      </c>
      <c r="AH39">
        <v>143.80000000000001</v>
      </c>
      <c r="AI39">
        <v>148.6</v>
      </c>
      <c r="AJ39">
        <v>149.5</v>
      </c>
    </row>
    <row r="40" spans="1:36">
      <c r="A40" t="s">
        <v>34</v>
      </c>
      <c r="B40">
        <v>2020</v>
      </c>
      <c r="C40" t="s">
        <v>37</v>
      </c>
      <c r="D40">
        <v>148.69999999999999</v>
      </c>
      <c r="E40">
        <v>156.26475409836061</v>
      </c>
      <c r="F40">
        <v>148.80000000000001</v>
      </c>
      <c r="G40">
        <v>155.6</v>
      </c>
      <c r="H40">
        <v>135.1</v>
      </c>
      <c r="I40">
        <v>149.9</v>
      </c>
      <c r="J40">
        <v>168.6</v>
      </c>
      <c r="K40">
        <v>150.4</v>
      </c>
      <c r="L40">
        <v>120.3</v>
      </c>
      <c r="M40">
        <v>157.1</v>
      </c>
      <c r="N40">
        <v>136.80000000000001</v>
      </c>
      <c r="O40">
        <v>149.08715846994548</v>
      </c>
      <c r="P40">
        <v>151.4</v>
      </c>
      <c r="Q40">
        <v>155.38579234972681</v>
      </c>
      <c r="R40">
        <v>148.81697892271663</v>
      </c>
      <c r="S40">
        <v>142.66366120218566</v>
      </c>
      <c r="T40">
        <v>135.97732240437156</v>
      </c>
      <c r="U40">
        <v>141.67431693989073</v>
      </c>
      <c r="V40">
        <v>140.10510018214933</v>
      </c>
      <c r="W40" t="s">
        <v>131</v>
      </c>
      <c r="X40">
        <v>144.1</v>
      </c>
      <c r="Y40">
        <v>136.68688524590166</v>
      </c>
      <c r="Z40">
        <v>140.39344262295083</v>
      </c>
      <c r="AA40">
        <v>150.69999999999999</v>
      </c>
      <c r="AB40">
        <v>133.35</v>
      </c>
      <c r="AC40">
        <v>142.02499999999998</v>
      </c>
      <c r="AD40">
        <v>127.17049180327859</v>
      </c>
      <c r="AE40">
        <v>133.89180327868851</v>
      </c>
      <c r="AF40">
        <v>130.53114754098357</v>
      </c>
      <c r="AG40">
        <v>141.13114754098362</v>
      </c>
      <c r="AH40">
        <v>134.23579234972684</v>
      </c>
      <c r="AI40">
        <v>139.56448087431698</v>
      </c>
      <c r="AJ40">
        <v>138.31047358834249</v>
      </c>
    </row>
    <row r="41" spans="1:36">
      <c r="A41" t="s">
        <v>34</v>
      </c>
      <c r="B41">
        <v>2020</v>
      </c>
      <c r="C41" t="s">
        <v>38</v>
      </c>
      <c r="D41">
        <v>136.68590785907853</v>
      </c>
      <c r="E41">
        <v>156.26475409836061</v>
      </c>
      <c r="F41">
        <v>140.79756097560974</v>
      </c>
      <c r="G41">
        <v>140.32520325203262</v>
      </c>
      <c r="H41">
        <v>132.12628726287261</v>
      </c>
      <c r="I41">
        <v>140.84092140921399</v>
      </c>
      <c r="J41">
        <v>155.75203252032517</v>
      </c>
      <c r="K41">
        <v>141.43089430894312</v>
      </c>
      <c r="L41">
        <v>110.9249322493224</v>
      </c>
      <c r="M41">
        <v>144.5222222222223</v>
      </c>
      <c r="N41">
        <v>134.09295392953925</v>
      </c>
      <c r="O41">
        <v>149.08715846994548</v>
      </c>
      <c r="P41">
        <v>142.51002710027106</v>
      </c>
      <c r="Q41">
        <v>155.38579234972681</v>
      </c>
      <c r="R41">
        <v>141.48190342910456</v>
      </c>
      <c r="S41">
        <v>142.66366120218566</v>
      </c>
      <c r="T41">
        <v>135.97732240437156</v>
      </c>
      <c r="U41">
        <v>141.67431693989073</v>
      </c>
      <c r="V41">
        <v>140.10510018214933</v>
      </c>
      <c r="W41">
        <v>139.2560976</v>
      </c>
      <c r="X41">
        <v>139.2560976</v>
      </c>
      <c r="Y41">
        <v>136.68688524590166</v>
      </c>
      <c r="Z41">
        <v>138.39969348196723</v>
      </c>
      <c r="AA41">
        <v>138.51680216802174</v>
      </c>
      <c r="AB41">
        <v>133.35</v>
      </c>
      <c r="AC41">
        <v>135.93340108401088</v>
      </c>
      <c r="AD41">
        <v>127.17049180327859</v>
      </c>
      <c r="AE41">
        <v>133.89180327868851</v>
      </c>
      <c r="AF41">
        <v>130.53114754098357</v>
      </c>
      <c r="AG41">
        <v>141.13114754098362</v>
      </c>
      <c r="AH41">
        <v>134.23579234972684</v>
      </c>
      <c r="AI41">
        <v>139.56448087431698</v>
      </c>
      <c r="AJ41">
        <v>138.31047358834249</v>
      </c>
    </row>
    <row r="42" spans="1:36">
      <c r="A42" t="s">
        <v>34</v>
      </c>
      <c r="B42">
        <v>2020</v>
      </c>
      <c r="C42" t="s">
        <v>39</v>
      </c>
      <c r="D42">
        <v>149.6</v>
      </c>
      <c r="E42">
        <v>192.7</v>
      </c>
      <c r="F42">
        <v>151.4</v>
      </c>
      <c r="G42">
        <v>153.30000000000001</v>
      </c>
      <c r="H42">
        <v>136.30000000000001</v>
      </c>
      <c r="I42">
        <v>147.19999999999999</v>
      </c>
      <c r="J42">
        <v>156.5</v>
      </c>
      <c r="K42">
        <v>150.9</v>
      </c>
      <c r="L42">
        <v>114.2</v>
      </c>
      <c r="M42">
        <v>159.5</v>
      </c>
      <c r="N42">
        <v>139.4</v>
      </c>
      <c r="O42">
        <v>161.80000000000001</v>
      </c>
      <c r="P42">
        <v>154</v>
      </c>
      <c r="Q42">
        <v>183.5</v>
      </c>
      <c r="R42">
        <v>153.59285714285716</v>
      </c>
      <c r="S42">
        <v>152.5</v>
      </c>
      <c r="T42">
        <v>144.4</v>
      </c>
      <c r="U42">
        <v>151.4</v>
      </c>
      <c r="V42">
        <v>149.43333333333331</v>
      </c>
      <c r="W42" t="s">
        <v>132</v>
      </c>
      <c r="X42">
        <v>141.9</v>
      </c>
      <c r="Y42">
        <v>146.4</v>
      </c>
      <c r="Z42">
        <v>144.15</v>
      </c>
      <c r="AA42">
        <v>154.4</v>
      </c>
      <c r="AB42">
        <v>151.6</v>
      </c>
      <c r="AC42">
        <v>153</v>
      </c>
      <c r="AD42">
        <v>135</v>
      </c>
      <c r="AE42">
        <v>148.30000000000001</v>
      </c>
      <c r="AF42">
        <v>141.65</v>
      </c>
      <c r="AG42">
        <v>156.4</v>
      </c>
      <c r="AH42">
        <v>147</v>
      </c>
      <c r="AI42">
        <v>151.80000000000001</v>
      </c>
      <c r="AJ42">
        <v>151.73333333333332</v>
      </c>
    </row>
    <row r="43" spans="1:36">
      <c r="A43" t="s">
        <v>34</v>
      </c>
      <c r="B43">
        <v>2020</v>
      </c>
      <c r="C43" t="s">
        <v>40</v>
      </c>
      <c r="D43">
        <v>149.6</v>
      </c>
      <c r="E43">
        <v>192.7</v>
      </c>
      <c r="F43">
        <v>151.4</v>
      </c>
      <c r="G43">
        <v>153.30000000000001</v>
      </c>
      <c r="H43">
        <v>136.30000000000001</v>
      </c>
      <c r="I43">
        <v>147.19999999999999</v>
      </c>
      <c r="J43">
        <v>156.5</v>
      </c>
      <c r="K43">
        <v>150.9</v>
      </c>
      <c r="L43">
        <v>114.2</v>
      </c>
      <c r="M43">
        <v>159.5</v>
      </c>
      <c r="N43">
        <v>139.4</v>
      </c>
      <c r="O43">
        <v>161.80000000000001</v>
      </c>
      <c r="P43">
        <v>154</v>
      </c>
      <c r="Q43">
        <v>183.5</v>
      </c>
      <c r="R43">
        <v>153.59285714285716</v>
      </c>
      <c r="S43">
        <v>152.5</v>
      </c>
      <c r="T43">
        <v>144.4</v>
      </c>
      <c r="U43">
        <v>151.4</v>
      </c>
      <c r="V43">
        <v>149.43333333333331</v>
      </c>
      <c r="W43" t="s">
        <v>132</v>
      </c>
      <c r="X43">
        <v>141.9</v>
      </c>
      <c r="Y43">
        <v>146.4</v>
      </c>
      <c r="Z43">
        <v>144.15</v>
      </c>
      <c r="AA43">
        <v>154.4</v>
      </c>
      <c r="AB43">
        <v>151.6</v>
      </c>
      <c r="AC43">
        <v>153</v>
      </c>
      <c r="AD43">
        <v>135</v>
      </c>
      <c r="AE43">
        <v>148.30000000000001</v>
      </c>
      <c r="AF43">
        <v>141.65</v>
      </c>
      <c r="AG43">
        <v>156.4</v>
      </c>
      <c r="AH43">
        <v>147</v>
      </c>
      <c r="AI43">
        <v>151.80000000000001</v>
      </c>
      <c r="AJ43">
        <v>151.73333333333332</v>
      </c>
    </row>
    <row r="44" spans="1:36">
      <c r="A44" t="s">
        <v>34</v>
      </c>
      <c r="B44">
        <v>2020</v>
      </c>
      <c r="C44" t="s">
        <v>41</v>
      </c>
      <c r="D44">
        <v>148.9</v>
      </c>
      <c r="E44">
        <v>190.9</v>
      </c>
      <c r="F44">
        <v>150.80000000000001</v>
      </c>
      <c r="G44">
        <v>153.30000000000001</v>
      </c>
      <c r="H44">
        <v>137.4</v>
      </c>
      <c r="I44">
        <v>150.4</v>
      </c>
      <c r="J44">
        <v>178.1</v>
      </c>
      <c r="K44">
        <v>150.4</v>
      </c>
      <c r="L44">
        <v>115.1</v>
      </c>
      <c r="M44">
        <v>160</v>
      </c>
      <c r="N44">
        <v>140.6</v>
      </c>
      <c r="O44">
        <v>162.30000000000001</v>
      </c>
      <c r="P44">
        <v>157</v>
      </c>
      <c r="Q44">
        <v>182.6</v>
      </c>
      <c r="R44">
        <v>155.55714285714285</v>
      </c>
      <c r="S44">
        <v>153.1</v>
      </c>
      <c r="T44">
        <v>143.4</v>
      </c>
      <c r="U44">
        <v>151.69999999999999</v>
      </c>
      <c r="V44">
        <v>149.4</v>
      </c>
      <c r="W44" t="s">
        <v>133</v>
      </c>
      <c r="X44">
        <v>143</v>
      </c>
      <c r="Y44">
        <v>148.4</v>
      </c>
      <c r="Z44">
        <v>145.69999999999999</v>
      </c>
      <c r="AA44">
        <v>155</v>
      </c>
      <c r="AB44">
        <v>154.30000000000001</v>
      </c>
      <c r="AC44">
        <v>154.65</v>
      </c>
      <c r="AD44">
        <v>138.5</v>
      </c>
      <c r="AE44">
        <v>146</v>
      </c>
      <c r="AF44">
        <v>142.25</v>
      </c>
      <c r="AG44">
        <v>158.5</v>
      </c>
      <c r="AH44">
        <v>149</v>
      </c>
      <c r="AI44">
        <v>153.9</v>
      </c>
      <c r="AJ44">
        <v>153.79999999999998</v>
      </c>
    </row>
    <row r="45" spans="1:36">
      <c r="A45" t="s">
        <v>34</v>
      </c>
      <c r="B45">
        <v>2020</v>
      </c>
      <c r="C45" t="s">
        <v>42</v>
      </c>
      <c r="D45">
        <v>148.4</v>
      </c>
      <c r="E45">
        <v>187.1</v>
      </c>
      <c r="F45">
        <v>152.5</v>
      </c>
      <c r="G45">
        <v>153.6</v>
      </c>
      <c r="H45">
        <v>138.19999999999999</v>
      </c>
      <c r="I45">
        <v>150.9</v>
      </c>
      <c r="J45">
        <v>186.7</v>
      </c>
      <c r="K45">
        <v>149.80000000000001</v>
      </c>
      <c r="L45">
        <v>116.4</v>
      </c>
      <c r="M45">
        <v>160.30000000000001</v>
      </c>
      <c r="N45">
        <v>142.19999999999999</v>
      </c>
      <c r="O45">
        <v>162.9</v>
      </c>
      <c r="P45">
        <v>158</v>
      </c>
      <c r="Q45">
        <v>184.4</v>
      </c>
      <c r="R45">
        <v>156.52857142857144</v>
      </c>
      <c r="S45">
        <v>153.4</v>
      </c>
      <c r="T45">
        <v>144.30000000000001</v>
      </c>
      <c r="U45">
        <v>152</v>
      </c>
      <c r="V45">
        <v>149.9</v>
      </c>
      <c r="W45" t="s">
        <v>134</v>
      </c>
      <c r="X45">
        <v>142.9</v>
      </c>
      <c r="Y45">
        <v>148.69999999999999</v>
      </c>
      <c r="Z45">
        <v>145.80000000000001</v>
      </c>
      <c r="AA45">
        <v>155.6</v>
      </c>
      <c r="AB45">
        <v>158.4</v>
      </c>
      <c r="AC45">
        <v>157</v>
      </c>
      <c r="AD45">
        <v>139.6</v>
      </c>
      <c r="AE45">
        <v>146.6</v>
      </c>
      <c r="AF45">
        <v>143.1</v>
      </c>
      <c r="AG45">
        <v>157.5</v>
      </c>
      <c r="AH45">
        <v>150</v>
      </c>
      <c r="AI45">
        <v>154.69999999999999</v>
      </c>
      <c r="AJ45">
        <v>154.06666666666666</v>
      </c>
    </row>
    <row r="46" spans="1:36">
      <c r="A46" t="s">
        <v>34</v>
      </c>
      <c r="B46">
        <v>2020</v>
      </c>
      <c r="C46" t="s">
        <v>43</v>
      </c>
      <c r="D46">
        <v>147.5</v>
      </c>
      <c r="E46">
        <v>188.9</v>
      </c>
      <c r="F46">
        <v>161.4</v>
      </c>
      <c r="G46">
        <v>153.6</v>
      </c>
      <c r="H46">
        <v>140.1</v>
      </c>
      <c r="I46">
        <v>151.19999999999999</v>
      </c>
      <c r="J46">
        <v>209.2</v>
      </c>
      <c r="K46">
        <v>150.9</v>
      </c>
      <c r="L46">
        <v>116.2</v>
      </c>
      <c r="M46">
        <v>161</v>
      </c>
      <c r="N46">
        <v>144</v>
      </c>
      <c r="O46">
        <v>163.19999999999999</v>
      </c>
      <c r="P46">
        <v>161.4</v>
      </c>
      <c r="Q46">
        <v>184.3</v>
      </c>
      <c r="R46">
        <v>159.49285714285719</v>
      </c>
      <c r="S46">
        <v>153.69999999999999</v>
      </c>
      <c r="T46">
        <v>144.6</v>
      </c>
      <c r="U46">
        <v>152.30000000000001</v>
      </c>
      <c r="V46">
        <v>150.19999999999999</v>
      </c>
      <c r="W46" t="s">
        <v>135</v>
      </c>
      <c r="X46">
        <v>143.1</v>
      </c>
      <c r="Y46">
        <v>148.69999999999999</v>
      </c>
      <c r="Z46">
        <v>145.89999999999998</v>
      </c>
      <c r="AA46">
        <v>156.30000000000001</v>
      </c>
      <c r="AB46">
        <v>157</v>
      </c>
      <c r="AC46">
        <v>156.65</v>
      </c>
      <c r="AD46">
        <v>140.6</v>
      </c>
      <c r="AE46">
        <v>146.5</v>
      </c>
      <c r="AF46">
        <v>143.55000000000001</v>
      </c>
      <c r="AG46">
        <v>158.5</v>
      </c>
      <c r="AH46">
        <v>150.4</v>
      </c>
      <c r="AI46">
        <v>156.4</v>
      </c>
      <c r="AJ46">
        <v>155.1</v>
      </c>
    </row>
    <row r="47" spans="1:36">
      <c r="A47" t="s">
        <v>34</v>
      </c>
      <c r="B47">
        <v>2020</v>
      </c>
      <c r="C47" t="s">
        <v>45</v>
      </c>
      <c r="D47">
        <v>146.80000000000001</v>
      </c>
      <c r="E47">
        <v>191</v>
      </c>
      <c r="F47">
        <v>173.6</v>
      </c>
      <c r="G47">
        <v>153.80000000000001</v>
      </c>
      <c r="H47">
        <v>142.69999999999999</v>
      </c>
      <c r="I47">
        <v>148.4</v>
      </c>
      <c r="J47">
        <v>230</v>
      </c>
      <c r="K47">
        <v>156.80000000000001</v>
      </c>
      <c r="L47">
        <v>115.7</v>
      </c>
      <c r="M47">
        <v>161.80000000000001</v>
      </c>
      <c r="N47">
        <v>146.5</v>
      </c>
      <c r="O47">
        <v>163.80000000000001</v>
      </c>
      <c r="P47">
        <v>164.7</v>
      </c>
      <c r="Q47">
        <v>184.8</v>
      </c>
      <c r="R47">
        <v>162.8857142857143</v>
      </c>
      <c r="S47">
        <v>154.30000000000001</v>
      </c>
      <c r="T47">
        <v>144.9</v>
      </c>
      <c r="U47">
        <v>152.80000000000001</v>
      </c>
      <c r="V47">
        <v>150.66666666666669</v>
      </c>
      <c r="W47" t="s">
        <v>136</v>
      </c>
      <c r="X47">
        <v>143.6</v>
      </c>
      <c r="Y47">
        <v>149.19999999999999</v>
      </c>
      <c r="Z47">
        <v>146.39999999999998</v>
      </c>
      <c r="AA47">
        <v>157.19999999999999</v>
      </c>
      <c r="AB47">
        <v>156.9</v>
      </c>
      <c r="AC47">
        <v>157.05000000000001</v>
      </c>
      <c r="AD47">
        <v>140.4</v>
      </c>
      <c r="AE47">
        <v>148.4</v>
      </c>
      <c r="AF47">
        <v>144.4</v>
      </c>
      <c r="AG47">
        <v>158.6</v>
      </c>
      <c r="AH47">
        <v>150.69999999999999</v>
      </c>
      <c r="AI47">
        <v>158.4</v>
      </c>
      <c r="AJ47">
        <v>155.89999999999998</v>
      </c>
    </row>
    <row r="48" spans="1:36">
      <c r="A48" t="s">
        <v>34</v>
      </c>
      <c r="B48">
        <v>2020</v>
      </c>
      <c r="C48" t="s">
        <v>46</v>
      </c>
      <c r="D48">
        <v>146</v>
      </c>
      <c r="E48">
        <v>191</v>
      </c>
      <c r="F48">
        <v>175.3</v>
      </c>
      <c r="G48">
        <v>154.1</v>
      </c>
      <c r="H48">
        <v>146.6</v>
      </c>
      <c r="I48">
        <v>147.69999999999999</v>
      </c>
      <c r="J48">
        <v>230.5</v>
      </c>
      <c r="K48">
        <v>160.19999999999999</v>
      </c>
      <c r="L48">
        <v>115.3</v>
      </c>
      <c r="M48">
        <v>163</v>
      </c>
      <c r="N48">
        <v>149.19999999999999</v>
      </c>
      <c r="O48">
        <v>164.8</v>
      </c>
      <c r="P48">
        <v>165.4</v>
      </c>
      <c r="Q48">
        <v>185.4</v>
      </c>
      <c r="R48">
        <v>163.89285714285714</v>
      </c>
      <c r="S48">
        <v>155</v>
      </c>
      <c r="T48">
        <v>145.4</v>
      </c>
      <c r="U48">
        <v>153.6</v>
      </c>
      <c r="V48">
        <v>151.33333333333334</v>
      </c>
      <c r="W48" t="s">
        <v>137</v>
      </c>
      <c r="X48">
        <v>144.6</v>
      </c>
      <c r="Y48">
        <v>149.69999999999999</v>
      </c>
      <c r="Z48">
        <v>147.14999999999998</v>
      </c>
      <c r="AA48">
        <v>158.30000000000001</v>
      </c>
      <c r="AB48">
        <v>157.1</v>
      </c>
      <c r="AC48">
        <v>157.69999999999999</v>
      </c>
      <c r="AD48">
        <v>140.69999999999999</v>
      </c>
      <c r="AE48">
        <v>148.5</v>
      </c>
      <c r="AF48">
        <v>144.6</v>
      </c>
      <c r="AG48">
        <v>159.4</v>
      </c>
      <c r="AH48">
        <v>151.19999999999999</v>
      </c>
      <c r="AI48">
        <v>158.9</v>
      </c>
      <c r="AJ48">
        <v>156.5</v>
      </c>
    </row>
    <row r="49" spans="1:36">
      <c r="A49" t="s">
        <v>34</v>
      </c>
      <c r="B49">
        <v>2021</v>
      </c>
      <c r="C49" t="s">
        <v>31</v>
      </c>
      <c r="D49">
        <v>144.9</v>
      </c>
      <c r="E49">
        <v>190.1</v>
      </c>
      <c r="F49">
        <v>175.3</v>
      </c>
      <c r="G49">
        <v>154.1</v>
      </c>
      <c r="H49">
        <v>150.9</v>
      </c>
      <c r="I49">
        <v>149.6</v>
      </c>
      <c r="J49">
        <v>194.2</v>
      </c>
      <c r="K49">
        <v>160.4</v>
      </c>
      <c r="L49">
        <v>114.6</v>
      </c>
      <c r="M49">
        <v>164</v>
      </c>
      <c r="N49">
        <v>151.80000000000001</v>
      </c>
      <c r="O49">
        <v>165.6</v>
      </c>
      <c r="P49">
        <v>161</v>
      </c>
      <c r="Q49">
        <v>186.5</v>
      </c>
      <c r="R49">
        <v>161.64285714285714</v>
      </c>
      <c r="S49">
        <v>155.5</v>
      </c>
      <c r="T49">
        <v>146.1</v>
      </c>
      <c r="U49">
        <v>154.19999999999999</v>
      </c>
      <c r="V49">
        <v>151.93333333333334</v>
      </c>
      <c r="W49" t="s">
        <v>138</v>
      </c>
      <c r="X49">
        <v>147.9</v>
      </c>
      <c r="Y49">
        <v>150</v>
      </c>
      <c r="Z49">
        <v>148.94999999999999</v>
      </c>
      <c r="AA49">
        <v>159.30000000000001</v>
      </c>
      <c r="AB49">
        <v>156.80000000000001</v>
      </c>
      <c r="AC49">
        <v>158.05000000000001</v>
      </c>
      <c r="AD49">
        <v>141.9</v>
      </c>
      <c r="AE49">
        <v>149.6</v>
      </c>
      <c r="AF49">
        <v>145.75</v>
      </c>
      <c r="AG49">
        <v>159.19999999999999</v>
      </c>
      <c r="AH49">
        <v>151.9</v>
      </c>
      <c r="AI49">
        <v>157.30000000000001</v>
      </c>
      <c r="AJ49">
        <v>156.13333333333335</v>
      </c>
    </row>
    <row r="50" spans="1:36">
      <c r="A50" t="s">
        <v>34</v>
      </c>
      <c r="B50">
        <v>2021</v>
      </c>
      <c r="C50" t="s">
        <v>35</v>
      </c>
      <c r="D50">
        <v>144.30000000000001</v>
      </c>
      <c r="E50">
        <v>186.5</v>
      </c>
      <c r="F50">
        <v>168.7</v>
      </c>
      <c r="G50">
        <v>154.69999999999999</v>
      </c>
      <c r="H50">
        <v>158.69999999999999</v>
      </c>
      <c r="I50">
        <v>150.69999999999999</v>
      </c>
      <c r="J50">
        <v>160</v>
      </c>
      <c r="K50">
        <v>158.80000000000001</v>
      </c>
      <c r="L50">
        <v>112.8</v>
      </c>
      <c r="M50">
        <v>164.2</v>
      </c>
      <c r="N50">
        <v>155.5</v>
      </c>
      <c r="O50">
        <v>167.5</v>
      </c>
      <c r="P50">
        <v>156.9</v>
      </c>
      <c r="Q50">
        <v>188.3</v>
      </c>
      <c r="R50">
        <v>159.11428571428573</v>
      </c>
      <c r="S50">
        <v>157.19999999999999</v>
      </c>
      <c r="T50">
        <v>147.4</v>
      </c>
      <c r="U50">
        <v>155.80000000000001</v>
      </c>
      <c r="V50">
        <v>153.46666666666667</v>
      </c>
      <c r="W50" t="s">
        <v>139</v>
      </c>
      <c r="X50">
        <v>152.4</v>
      </c>
      <c r="Y50">
        <v>150.9</v>
      </c>
      <c r="Z50">
        <v>151.65</v>
      </c>
      <c r="AA50">
        <v>161.30000000000001</v>
      </c>
      <c r="AB50">
        <v>155.80000000000001</v>
      </c>
      <c r="AC50">
        <v>158.55000000000001</v>
      </c>
      <c r="AD50">
        <v>145.1</v>
      </c>
      <c r="AE50">
        <v>151.5</v>
      </c>
      <c r="AF50">
        <v>148.30000000000001</v>
      </c>
      <c r="AG50">
        <v>159.5</v>
      </c>
      <c r="AH50">
        <v>153.4</v>
      </c>
      <c r="AI50">
        <v>156.6</v>
      </c>
      <c r="AJ50">
        <v>156.5</v>
      </c>
    </row>
    <row r="51" spans="1:36">
      <c r="A51" t="s">
        <v>34</v>
      </c>
      <c r="B51">
        <v>2021</v>
      </c>
      <c r="C51" t="s">
        <v>36</v>
      </c>
      <c r="D51">
        <v>144.1</v>
      </c>
      <c r="E51">
        <v>192.2</v>
      </c>
      <c r="F51">
        <v>163.80000000000001</v>
      </c>
      <c r="G51">
        <v>154.9</v>
      </c>
      <c r="H51">
        <v>163.9</v>
      </c>
      <c r="I51">
        <v>153.69999999999999</v>
      </c>
      <c r="J51">
        <v>149.5</v>
      </c>
      <c r="K51">
        <v>159.80000000000001</v>
      </c>
      <c r="L51">
        <v>112.6</v>
      </c>
      <c r="M51">
        <v>163.5</v>
      </c>
      <c r="N51">
        <v>156.5</v>
      </c>
      <c r="O51">
        <v>168.2</v>
      </c>
      <c r="P51">
        <v>156.69999999999999</v>
      </c>
      <c r="Q51">
        <v>188.1</v>
      </c>
      <c r="R51">
        <v>159.10714285714286</v>
      </c>
      <c r="S51">
        <v>157.80000000000001</v>
      </c>
      <c r="T51">
        <v>147.9</v>
      </c>
      <c r="U51">
        <v>156.4</v>
      </c>
      <c r="V51">
        <v>154.03333333333333</v>
      </c>
      <c r="W51" t="s">
        <v>140</v>
      </c>
      <c r="X51">
        <v>155.5</v>
      </c>
      <c r="Y51">
        <v>151.19999999999999</v>
      </c>
      <c r="Z51">
        <v>153.35</v>
      </c>
      <c r="AA51">
        <v>161.69999999999999</v>
      </c>
      <c r="AB51">
        <v>153.80000000000001</v>
      </c>
      <c r="AC51">
        <v>157.75</v>
      </c>
      <c r="AD51">
        <v>146.19999999999999</v>
      </c>
      <c r="AE51">
        <v>152.6</v>
      </c>
      <c r="AF51">
        <v>149.39999999999998</v>
      </c>
      <c r="AG51">
        <v>160.19999999999999</v>
      </c>
      <c r="AH51">
        <v>153.80000000000001</v>
      </c>
      <c r="AI51">
        <v>156.80000000000001</v>
      </c>
      <c r="AJ51">
        <v>156.93333333333334</v>
      </c>
    </row>
    <row r="52" spans="1:36">
      <c r="A52" t="s">
        <v>34</v>
      </c>
      <c r="B52">
        <v>2021</v>
      </c>
      <c r="C52" t="s">
        <v>37</v>
      </c>
      <c r="D52">
        <v>144.30000000000001</v>
      </c>
      <c r="E52">
        <v>198</v>
      </c>
      <c r="F52">
        <v>164.6</v>
      </c>
      <c r="G52">
        <v>155.4</v>
      </c>
      <c r="H52">
        <v>170.1</v>
      </c>
      <c r="I52">
        <v>164.4</v>
      </c>
      <c r="J52">
        <v>144.1</v>
      </c>
      <c r="K52">
        <v>161.69999999999999</v>
      </c>
      <c r="L52">
        <v>113.1</v>
      </c>
      <c r="M52">
        <v>163.9</v>
      </c>
      <c r="N52">
        <v>157.6</v>
      </c>
      <c r="O52">
        <v>168.9</v>
      </c>
      <c r="P52">
        <v>158</v>
      </c>
      <c r="Q52">
        <v>188.8</v>
      </c>
      <c r="R52">
        <v>160.92142857142858</v>
      </c>
      <c r="S52">
        <v>158.80000000000001</v>
      </c>
      <c r="T52">
        <v>148.5</v>
      </c>
      <c r="U52">
        <v>157.30000000000001</v>
      </c>
      <c r="V52">
        <v>154.86666666666667</v>
      </c>
      <c r="W52" t="s">
        <v>141</v>
      </c>
      <c r="X52">
        <v>155.6</v>
      </c>
      <c r="Y52">
        <v>151.80000000000001</v>
      </c>
      <c r="Z52">
        <v>153.69999999999999</v>
      </c>
      <c r="AA52">
        <v>162.30000000000001</v>
      </c>
      <c r="AB52">
        <v>155.4</v>
      </c>
      <c r="AC52">
        <v>158.85000000000002</v>
      </c>
      <c r="AD52">
        <v>146.6</v>
      </c>
      <c r="AE52">
        <v>153.19999999999999</v>
      </c>
      <c r="AF52">
        <v>149.89999999999998</v>
      </c>
      <c r="AG52">
        <v>160.30000000000001</v>
      </c>
      <c r="AH52">
        <v>154.4</v>
      </c>
      <c r="AI52">
        <v>157.80000000000001</v>
      </c>
      <c r="AJ52">
        <v>157.50000000000003</v>
      </c>
    </row>
    <row r="53" spans="1:36">
      <c r="A53" t="s">
        <v>34</v>
      </c>
      <c r="B53">
        <v>2021</v>
      </c>
      <c r="C53" t="s">
        <v>38</v>
      </c>
      <c r="D53">
        <v>146.30000000000001</v>
      </c>
      <c r="E53">
        <v>200.5</v>
      </c>
      <c r="F53">
        <v>170.3</v>
      </c>
      <c r="G53">
        <v>156.1</v>
      </c>
      <c r="H53">
        <v>178.7</v>
      </c>
      <c r="I53">
        <v>167.1</v>
      </c>
      <c r="J53">
        <v>147.9</v>
      </c>
      <c r="K53">
        <v>165.4</v>
      </c>
      <c r="L53">
        <v>114.8</v>
      </c>
      <c r="M53">
        <v>168.2</v>
      </c>
      <c r="N53">
        <v>159.30000000000001</v>
      </c>
      <c r="O53">
        <v>170.4</v>
      </c>
      <c r="P53">
        <v>160.69999999999999</v>
      </c>
      <c r="Q53">
        <v>191.9</v>
      </c>
      <c r="R53">
        <v>164.11428571428573</v>
      </c>
      <c r="S53">
        <v>161.80000000000001</v>
      </c>
      <c r="T53">
        <v>152.1</v>
      </c>
      <c r="U53">
        <v>160.4</v>
      </c>
      <c r="V53">
        <v>158.1</v>
      </c>
      <c r="W53" t="s">
        <v>142</v>
      </c>
      <c r="X53">
        <v>159.4</v>
      </c>
      <c r="Y53">
        <v>154.69999999999999</v>
      </c>
      <c r="Z53">
        <v>157.05000000000001</v>
      </c>
      <c r="AA53">
        <v>165.8</v>
      </c>
      <c r="AB53">
        <v>158.6</v>
      </c>
      <c r="AC53">
        <v>162.19999999999999</v>
      </c>
      <c r="AD53">
        <v>148.9</v>
      </c>
      <c r="AE53">
        <v>155.80000000000001</v>
      </c>
      <c r="AF53">
        <v>152.35000000000002</v>
      </c>
      <c r="AG53">
        <v>161.19999999999999</v>
      </c>
      <c r="AH53">
        <v>156.80000000000001</v>
      </c>
      <c r="AI53">
        <v>160.4</v>
      </c>
      <c r="AJ53">
        <v>159.46666666666667</v>
      </c>
    </row>
    <row r="54" spans="1:36">
      <c r="A54" t="s">
        <v>34</v>
      </c>
      <c r="B54">
        <v>2021</v>
      </c>
      <c r="C54" t="s">
        <v>39</v>
      </c>
      <c r="D54">
        <v>146.69999999999999</v>
      </c>
      <c r="E54">
        <v>202</v>
      </c>
      <c r="F54">
        <v>180.7</v>
      </c>
      <c r="G54">
        <v>156.19999999999999</v>
      </c>
      <c r="H54">
        <v>183.7</v>
      </c>
      <c r="I54">
        <v>164.6</v>
      </c>
      <c r="J54">
        <v>155.4</v>
      </c>
      <c r="K54">
        <v>166</v>
      </c>
      <c r="L54">
        <v>115.1</v>
      </c>
      <c r="M54">
        <v>168.5</v>
      </c>
      <c r="N54">
        <v>160</v>
      </c>
      <c r="O54">
        <v>172.4</v>
      </c>
      <c r="P54">
        <v>162.6</v>
      </c>
      <c r="Q54">
        <v>190.8</v>
      </c>
      <c r="R54">
        <v>166.05</v>
      </c>
      <c r="S54">
        <v>162.19999999999999</v>
      </c>
      <c r="T54">
        <v>151.80000000000001</v>
      </c>
      <c r="U54">
        <v>160.69999999999999</v>
      </c>
      <c r="V54">
        <v>158.23333333333332</v>
      </c>
      <c r="W54" t="s">
        <v>143</v>
      </c>
      <c r="X54">
        <v>159.80000000000001</v>
      </c>
      <c r="Y54">
        <v>154.80000000000001</v>
      </c>
      <c r="Z54">
        <v>157.30000000000001</v>
      </c>
      <c r="AA54">
        <v>166.3</v>
      </c>
      <c r="AB54">
        <v>158.80000000000001</v>
      </c>
      <c r="AC54">
        <v>162.55000000000001</v>
      </c>
      <c r="AD54">
        <v>150.69999999999999</v>
      </c>
      <c r="AE54">
        <v>154.9</v>
      </c>
      <c r="AF54">
        <v>152.80000000000001</v>
      </c>
      <c r="AG54">
        <v>161.69999999999999</v>
      </c>
      <c r="AH54">
        <v>157.6</v>
      </c>
      <c r="AI54">
        <v>161.30000000000001</v>
      </c>
      <c r="AJ54">
        <v>160.19999999999999</v>
      </c>
    </row>
    <row r="55" spans="1:36">
      <c r="A55" t="s">
        <v>34</v>
      </c>
      <c r="B55">
        <v>2021</v>
      </c>
      <c r="C55" t="s">
        <v>40</v>
      </c>
      <c r="D55">
        <v>146.4</v>
      </c>
      <c r="E55">
        <v>206.8</v>
      </c>
      <c r="F55">
        <v>182.2</v>
      </c>
      <c r="G55">
        <v>157.5</v>
      </c>
      <c r="H55">
        <v>182.1</v>
      </c>
      <c r="I55">
        <v>163.9</v>
      </c>
      <c r="J55">
        <v>164.2</v>
      </c>
      <c r="K55">
        <v>164</v>
      </c>
      <c r="L55">
        <v>114.5</v>
      </c>
      <c r="M55">
        <v>168.3</v>
      </c>
      <c r="N55">
        <v>160.9</v>
      </c>
      <c r="O55">
        <v>172.2</v>
      </c>
      <c r="P55">
        <v>164</v>
      </c>
      <c r="Q55">
        <v>191.2</v>
      </c>
      <c r="R55">
        <v>167.01428571428571</v>
      </c>
      <c r="S55">
        <v>162.80000000000001</v>
      </c>
      <c r="T55">
        <v>153.1</v>
      </c>
      <c r="U55">
        <v>161.4</v>
      </c>
      <c r="V55">
        <v>159.1</v>
      </c>
      <c r="W55" t="s">
        <v>144</v>
      </c>
      <c r="X55">
        <v>160.69999999999999</v>
      </c>
      <c r="Y55">
        <v>155.80000000000001</v>
      </c>
      <c r="Z55">
        <v>158.25</v>
      </c>
      <c r="AA55">
        <v>167</v>
      </c>
      <c r="AB55">
        <v>160.1</v>
      </c>
      <c r="AC55">
        <v>163.55000000000001</v>
      </c>
      <c r="AD55">
        <v>153.1</v>
      </c>
      <c r="AE55">
        <v>155.30000000000001</v>
      </c>
      <c r="AF55">
        <v>154.19999999999999</v>
      </c>
      <c r="AG55">
        <v>163.19999999999999</v>
      </c>
      <c r="AH55">
        <v>159</v>
      </c>
      <c r="AI55">
        <v>162.5</v>
      </c>
      <c r="AJ55">
        <v>161.56666666666666</v>
      </c>
    </row>
    <row r="56" spans="1:36">
      <c r="A56" t="s">
        <v>34</v>
      </c>
      <c r="B56">
        <v>2021</v>
      </c>
      <c r="C56" t="s">
        <v>41</v>
      </c>
      <c r="D56">
        <v>146.6</v>
      </c>
      <c r="E56">
        <v>204</v>
      </c>
      <c r="F56">
        <v>172.8</v>
      </c>
      <c r="G56">
        <v>158.4</v>
      </c>
      <c r="H56">
        <v>188</v>
      </c>
      <c r="I56">
        <v>156.80000000000001</v>
      </c>
      <c r="J56">
        <v>162.19999999999999</v>
      </c>
      <c r="K56">
        <v>164.1</v>
      </c>
      <c r="L56">
        <v>119.7</v>
      </c>
      <c r="M56">
        <v>168.8</v>
      </c>
      <c r="N56">
        <v>162.69999999999999</v>
      </c>
      <c r="O56">
        <v>173.9</v>
      </c>
      <c r="P56">
        <v>164</v>
      </c>
      <c r="Q56">
        <v>192.1</v>
      </c>
      <c r="R56">
        <v>166.72142857142856</v>
      </c>
      <c r="S56">
        <v>164.5</v>
      </c>
      <c r="T56">
        <v>155.30000000000001</v>
      </c>
      <c r="U56">
        <v>163.19999999999999</v>
      </c>
      <c r="V56">
        <v>161</v>
      </c>
      <c r="W56" t="s">
        <v>145</v>
      </c>
      <c r="X56">
        <v>162.6</v>
      </c>
      <c r="Y56">
        <v>157.5</v>
      </c>
      <c r="Z56">
        <v>160.05000000000001</v>
      </c>
      <c r="AA56">
        <v>168.4</v>
      </c>
      <c r="AB56">
        <v>160</v>
      </c>
      <c r="AC56">
        <v>164.2</v>
      </c>
      <c r="AD56">
        <v>154</v>
      </c>
      <c r="AE56">
        <v>157.6</v>
      </c>
      <c r="AF56">
        <v>155.80000000000001</v>
      </c>
      <c r="AG56">
        <v>163.80000000000001</v>
      </c>
      <c r="AH56">
        <v>160</v>
      </c>
      <c r="AI56">
        <v>163.19999999999999</v>
      </c>
      <c r="AJ56">
        <v>162.33333333333334</v>
      </c>
    </row>
    <row r="57" spans="1:36">
      <c r="A57" t="s">
        <v>34</v>
      </c>
      <c r="B57">
        <v>2021</v>
      </c>
      <c r="C57" t="s">
        <v>42</v>
      </c>
      <c r="D57">
        <v>146.6</v>
      </c>
      <c r="E57">
        <v>204</v>
      </c>
      <c r="F57">
        <v>172.8</v>
      </c>
      <c r="G57">
        <v>158.4</v>
      </c>
      <c r="H57">
        <v>188</v>
      </c>
      <c r="I57">
        <v>156.69999999999999</v>
      </c>
      <c r="J57">
        <v>162.30000000000001</v>
      </c>
      <c r="K57">
        <v>164.1</v>
      </c>
      <c r="L57">
        <v>119.7</v>
      </c>
      <c r="M57">
        <v>168.8</v>
      </c>
      <c r="N57">
        <v>162.69999999999999</v>
      </c>
      <c r="O57">
        <v>173.9</v>
      </c>
      <c r="P57">
        <v>164</v>
      </c>
      <c r="Q57">
        <v>192.1</v>
      </c>
      <c r="R57">
        <v>166.72142857142856</v>
      </c>
      <c r="S57">
        <v>164.6</v>
      </c>
      <c r="T57">
        <v>155.30000000000001</v>
      </c>
      <c r="U57">
        <v>163.30000000000001</v>
      </c>
      <c r="V57">
        <v>161.06666666666666</v>
      </c>
      <c r="W57" t="s">
        <v>145</v>
      </c>
      <c r="X57">
        <v>162.6</v>
      </c>
      <c r="Y57">
        <v>157.5</v>
      </c>
      <c r="Z57">
        <v>160.05000000000001</v>
      </c>
      <c r="AA57">
        <v>168.4</v>
      </c>
      <c r="AB57">
        <v>160</v>
      </c>
      <c r="AC57">
        <v>164.2</v>
      </c>
      <c r="AD57">
        <v>154</v>
      </c>
      <c r="AE57">
        <v>157.69999999999999</v>
      </c>
      <c r="AF57">
        <v>155.85</v>
      </c>
      <c r="AG57">
        <v>163.69999999999999</v>
      </c>
      <c r="AH57">
        <v>160</v>
      </c>
      <c r="AI57">
        <v>163.19999999999999</v>
      </c>
      <c r="AJ57">
        <v>162.29999999999998</v>
      </c>
    </row>
    <row r="58" spans="1:36">
      <c r="A58" t="s">
        <v>34</v>
      </c>
      <c r="B58">
        <v>2021</v>
      </c>
      <c r="C58" t="s">
        <v>43</v>
      </c>
      <c r="D58">
        <v>147.4</v>
      </c>
      <c r="E58">
        <v>204.6</v>
      </c>
      <c r="F58">
        <v>171.2</v>
      </c>
      <c r="G58">
        <v>158.69999999999999</v>
      </c>
      <c r="H58">
        <v>190.6</v>
      </c>
      <c r="I58">
        <v>155.69999999999999</v>
      </c>
      <c r="J58">
        <v>185.3</v>
      </c>
      <c r="K58">
        <v>165.2</v>
      </c>
      <c r="L58">
        <v>121.9</v>
      </c>
      <c r="M58">
        <v>169.3</v>
      </c>
      <c r="N58">
        <v>163.19999999999999</v>
      </c>
      <c r="O58">
        <v>174.7</v>
      </c>
      <c r="P58">
        <v>167.7</v>
      </c>
      <c r="Q58">
        <v>192.7</v>
      </c>
      <c r="R58">
        <v>169.15714285714284</v>
      </c>
      <c r="S58">
        <v>165.7</v>
      </c>
      <c r="T58">
        <v>156.30000000000001</v>
      </c>
      <c r="U58">
        <v>164.3</v>
      </c>
      <c r="V58">
        <v>162.1</v>
      </c>
      <c r="W58" t="s">
        <v>146</v>
      </c>
      <c r="X58">
        <v>164.2</v>
      </c>
      <c r="Y58">
        <v>158.4</v>
      </c>
      <c r="Z58">
        <v>161.30000000000001</v>
      </c>
      <c r="AA58">
        <v>169.1</v>
      </c>
      <c r="AB58">
        <v>160.80000000000001</v>
      </c>
      <c r="AC58">
        <v>164.95</v>
      </c>
      <c r="AD58">
        <v>155.69999999999999</v>
      </c>
      <c r="AE58">
        <v>158.6</v>
      </c>
      <c r="AF58">
        <v>157.14999999999998</v>
      </c>
      <c r="AG58">
        <v>163.9</v>
      </c>
      <c r="AH58">
        <v>161</v>
      </c>
      <c r="AI58">
        <v>165.5</v>
      </c>
      <c r="AJ58">
        <v>163.46666666666667</v>
      </c>
    </row>
    <row r="59" spans="1:36">
      <c r="A59" t="s">
        <v>34</v>
      </c>
      <c r="B59">
        <v>2021</v>
      </c>
      <c r="C59" t="s">
        <v>45</v>
      </c>
      <c r="D59">
        <v>148.19999999999999</v>
      </c>
      <c r="E59">
        <v>201.6</v>
      </c>
      <c r="F59">
        <v>173</v>
      </c>
      <c r="G59">
        <v>159.30000000000001</v>
      </c>
      <c r="H59">
        <v>190.1</v>
      </c>
      <c r="I59">
        <v>156.5</v>
      </c>
      <c r="J59">
        <v>199.2</v>
      </c>
      <c r="K59">
        <v>165.3</v>
      </c>
      <c r="L59">
        <v>122.4</v>
      </c>
      <c r="M59">
        <v>169.6</v>
      </c>
      <c r="N59">
        <v>163.69999999999999</v>
      </c>
      <c r="O59">
        <v>175.5</v>
      </c>
      <c r="P59">
        <v>169.7</v>
      </c>
      <c r="Q59">
        <v>192.9</v>
      </c>
      <c r="R59">
        <v>170.5</v>
      </c>
      <c r="S59">
        <v>167.2</v>
      </c>
      <c r="T59">
        <v>157.4</v>
      </c>
      <c r="U59">
        <v>165.8</v>
      </c>
      <c r="V59">
        <v>163.46666666666667</v>
      </c>
      <c r="W59" t="s">
        <v>147</v>
      </c>
      <c r="X59">
        <v>163.9</v>
      </c>
      <c r="Y59">
        <v>159.30000000000001</v>
      </c>
      <c r="Z59">
        <v>161.60000000000002</v>
      </c>
      <c r="AA59">
        <v>169.9</v>
      </c>
      <c r="AB59">
        <v>162.19999999999999</v>
      </c>
      <c r="AC59">
        <v>166.05</v>
      </c>
      <c r="AD59">
        <v>154.80000000000001</v>
      </c>
      <c r="AE59">
        <v>159.80000000000001</v>
      </c>
      <c r="AF59">
        <v>157.30000000000001</v>
      </c>
      <c r="AG59">
        <v>164.3</v>
      </c>
      <c r="AH59">
        <v>161.4</v>
      </c>
      <c r="AI59">
        <v>166.7</v>
      </c>
      <c r="AJ59">
        <v>164.13333333333335</v>
      </c>
    </row>
    <row r="60" spans="1:36">
      <c r="A60" t="s">
        <v>34</v>
      </c>
      <c r="B60">
        <v>2021</v>
      </c>
      <c r="C60" t="s">
        <v>46</v>
      </c>
      <c r="D60">
        <v>148.69999999999999</v>
      </c>
      <c r="E60">
        <v>198.8</v>
      </c>
      <c r="F60">
        <v>177.9</v>
      </c>
      <c r="G60">
        <v>159.9</v>
      </c>
      <c r="H60">
        <v>187.6</v>
      </c>
      <c r="I60">
        <v>154.9</v>
      </c>
      <c r="J60">
        <v>188.3</v>
      </c>
      <c r="K60">
        <v>164.4</v>
      </c>
      <c r="L60">
        <v>121</v>
      </c>
      <c r="M60">
        <v>170.5</v>
      </c>
      <c r="N60">
        <v>164.2</v>
      </c>
      <c r="O60">
        <v>176.5</v>
      </c>
      <c r="P60">
        <v>168.2</v>
      </c>
      <c r="Q60">
        <v>192.4</v>
      </c>
      <c r="R60">
        <v>169.52142857142857</v>
      </c>
      <c r="S60">
        <v>168.5</v>
      </c>
      <c r="T60">
        <v>158.69999999999999</v>
      </c>
      <c r="U60">
        <v>167</v>
      </c>
      <c r="V60">
        <v>164.73333333333332</v>
      </c>
      <c r="W60" t="s">
        <v>148</v>
      </c>
      <c r="X60">
        <v>164.1</v>
      </c>
      <c r="Y60">
        <v>160.19999999999999</v>
      </c>
      <c r="Z60">
        <v>162.14999999999998</v>
      </c>
      <c r="AA60">
        <v>170.6</v>
      </c>
      <c r="AB60">
        <v>162.6</v>
      </c>
      <c r="AC60">
        <v>166.6</v>
      </c>
      <c r="AD60">
        <v>155.69999999999999</v>
      </c>
      <c r="AE60">
        <v>160.6</v>
      </c>
      <c r="AF60">
        <v>158.14999999999998</v>
      </c>
      <c r="AG60">
        <v>164.4</v>
      </c>
      <c r="AH60">
        <v>162</v>
      </c>
      <c r="AI60">
        <v>166.2</v>
      </c>
      <c r="AJ60">
        <v>164.2</v>
      </c>
    </row>
    <row r="61" spans="1:36">
      <c r="A61" t="s">
        <v>34</v>
      </c>
      <c r="B61">
        <v>2022</v>
      </c>
      <c r="C61" t="s">
        <v>31</v>
      </c>
      <c r="D61">
        <v>149.5</v>
      </c>
      <c r="E61">
        <v>198.7</v>
      </c>
      <c r="F61">
        <v>178.8</v>
      </c>
      <c r="G61">
        <v>160.5</v>
      </c>
      <c r="H61">
        <v>184.7</v>
      </c>
      <c r="I61">
        <v>153.69999999999999</v>
      </c>
      <c r="J61">
        <v>174.3</v>
      </c>
      <c r="K61">
        <v>163.9</v>
      </c>
      <c r="L61">
        <v>120</v>
      </c>
      <c r="M61">
        <v>172.1</v>
      </c>
      <c r="N61">
        <v>164.3</v>
      </c>
      <c r="O61">
        <v>177.3</v>
      </c>
      <c r="P61">
        <v>166.4</v>
      </c>
      <c r="Q61">
        <v>192.2</v>
      </c>
      <c r="R61">
        <v>168.31428571428569</v>
      </c>
      <c r="S61">
        <v>169.9</v>
      </c>
      <c r="T61">
        <v>160.69999999999999</v>
      </c>
      <c r="U61">
        <v>168.5</v>
      </c>
      <c r="V61">
        <v>166.36666666666667</v>
      </c>
      <c r="W61" t="s">
        <v>149</v>
      </c>
      <c r="X61">
        <v>164.2</v>
      </c>
      <c r="Y61">
        <v>161.1</v>
      </c>
      <c r="Z61">
        <v>162.64999999999998</v>
      </c>
      <c r="AA61">
        <v>171.4</v>
      </c>
      <c r="AB61">
        <v>163</v>
      </c>
      <c r="AC61">
        <v>167.2</v>
      </c>
      <c r="AD61">
        <v>156.5</v>
      </c>
      <c r="AE61">
        <v>161.19999999999999</v>
      </c>
      <c r="AF61">
        <v>158.85</v>
      </c>
      <c r="AG61">
        <v>164.7</v>
      </c>
      <c r="AH61">
        <v>162.69999999999999</v>
      </c>
      <c r="AI61">
        <v>165.7</v>
      </c>
      <c r="AJ61">
        <v>164.36666666666665</v>
      </c>
    </row>
    <row r="62" spans="1:36">
      <c r="A62" t="s">
        <v>34</v>
      </c>
      <c r="B62">
        <v>2022</v>
      </c>
      <c r="C62" t="s">
        <v>35</v>
      </c>
      <c r="D62">
        <v>150</v>
      </c>
      <c r="E62">
        <v>200.6</v>
      </c>
      <c r="F62">
        <v>175.8</v>
      </c>
      <c r="G62">
        <v>160.69999999999999</v>
      </c>
      <c r="H62">
        <v>184.9</v>
      </c>
      <c r="I62">
        <v>153.69999999999999</v>
      </c>
      <c r="J62">
        <v>169.7</v>
      </c>
      <c r="K62">
        <v>163.69999999999999</v>
      </c>
      <c r="L62">
        <v>118.9</v>
      </c>
      <c r="M62">
        <v>174.3</v>
      </c>
      <c r="N62">
        <v>164.7</v>
      </c>
      <c r="O62">
        <v>178</v>
      </c>
      <c r="P62">
        <v>166.2</v>
      </c>
      <c r="Q62">
        <v>192.8</v>
      </c>
      <c r="R62">
        <v>168.14285714285717</v>
      </c>
      <c r="S62">
        <v>170.8</v>
      </c>
      <c r="T62">
        <v>162.4</v>
      </c>
      <c r="U62">
        <v>169.6</v>
      </c>
      <c r="V62">
        <v>167.60000000000002</v>
      </c>
      <c r="W62" t="s">
        <v>150</v>
      </c>
      <c r="X62">
        <v>165.7</v>
      </c>
      <c r="Y62">
        <v>161.80000000000001</v>
      </c>
      <c r="Z62">
        <v>163.75</v>
      </c>
      <c r="AA62">
        <v>172.2</v>
      </c>
      <c r="AB62">
        <v>164.4</v>
      </c>
      <c r="AC62">
        <v>168.3</v>
      </c>
      <c r="AD62">
        <v>156.9</v>
      </c>
      <c r="AE62">
        <v>162.1</v>
      </c>
      <c r="AF62">
        <v>159.5</v>
      </c>
      <c r="AG62">
        <v>165.4</v>
      </c>
      <c r="AH62">
        <v>163.5</v>
      </c>
      <c r="AI62">
        <v>166.1</v>
      </c>
      <c r="AJ62">
        <v>165</v>
      </c>
    </row>
    <row r="63" spans="1:36">
      <c r="A63" t="s">
        <v>34</v>
      </c>
      <c r="B63">
        <v>2022</v>
      </c>
      <c r="C63" t="s">
        <v>36</v>
      </c>
      <c r="D63">
        <v>151.30000000000001</v>
      </c>
      <c r="E63">
        <v>210.7</v>
      </c>
      <c r="F63">
        <v>167.8</v>
      </c>
      <c r="G63">
        <v>162.19999999999999</v>
      </c>
      <c r="H63">
        <v>194.6</v>
      </c>
      <c r="I63">
        <v>157.6</v>
      </c>
      <c r="J63">
        <v>166.9</v>
      </c>
      <c r="K63">
        <v>163.9</v>
      </c>
      <c r="L63">
        <v>118.8</v>
      </c>
      <c r="M63">
        <v>177.4</v>
      </c>
      <c r="N63">
        <v>165.3</v>
      </c>
      <c r="O63">
        <v>179.3</v>
      </c>
      <c r="P63">
        <v>168.4</v>
      </c>
      <c r="Q63">
        <v>193.7</v>
      </c>
      <c r="R63">
        <v>169.85</v>
      </c>
      <c r="S63">
        <v>172.1</v>
      </c>
      <c r="T63">
        <v>164.6</v>
      </c>
      <c r="U63">
        <v>171.1</v>
      </c>
      <c r="V63">
        <v>169.26666666666665</v>
      </c>
      <c r="W63" t="s">
        <v>151</v>
      </c>
      <c r="X63">
        <v>167.2</v>
      </c>
      <c r="Y63">
        <v>162.80000000000001</v>
      </c>
      <c r="Z63">
        <v>165</v>
      </c>
      <c r="AA63">
        <v>173</v>
      </c>
      <c r="AB63">
        <v>167.2</v>
      </c>
      <c r="AC63">
        <v>170.1</v>
      </c>
      <c r="AD63">
        <v>157.9</v>
      </c>
      <c r="AE63">
        <v>163.30000000000001</v>
      </c>
      <c r="AF63">
        <v>160.60000000000002</v>
      </c>
      <c r="AG63">
        <v>166</v>
      </c>
      <c r="AH63">
        <v>164.6</v>
      </c>
      <c r="AI63">
        <v>167.7</v>
      </c>
      <c r="AJ63">
        <v>166.1</v>
      </c>
    </row>
    <row r="64" spans="1:36">
      <c r="A64" t="s">
        <v>34</v>
      </c>
      <c r="B64">
        <v>2022</v>
      </c>
      <c r="C64" t="s">
        <v>37</v>
      </c>
      <c r="D64">
        <v>152.9</v>
      </c>
      <c r="E64">
        <v>211.8</v>
      </c>
      <c r="F64">
        <v>164.5</v>
      </c>
      <c r="G64">
        <v>163.9</v>
      </c>
      <c r="H64">
        <v>199.5</v>
      </c>
      <c r="I64">
        <v>172.6</v>
      </c>
      <c r="J64">
        <v>166.2</v>
      </c>
      <c r="K64">
        <v>164.7</v>
      </c>
      <c r="L64">
        <v>119</v>
      </c>
      <c r="M64">
        <v>181.3</v>
      </c>
      <c r="N64">
        <v>166.2</v>
      </c>
      <c r="O64">
        <v>180.9</v>
      </c>
      <c r="P64">
        <v>170.8</v>
      </c>
      <c r="Q64">
        <v>193.9</v>
      </c>
      <c r="R64">
        <v>172.01428571428573</v>
      </c>
      <c r="S64">
        <v>173.9</v>
      </c>
      <c r="T64">
        <v>166.5</v>
      </c>
      <c r="U64">
        <v>172.8</v>
      </c>
      <c r="V64">
        <v>171.06666666666669</v>
      </c>
      <c r="W64" t="s">
        <v>152</v>
      </c>
      <c r="X64">
        <v>172.2</v>
      </c>
      <c r="Y64">
        <v>164</v>
      </c>
      <c r="Z64">
        <v>168.1</v>
      </c>
      <c r="AA64">
        <v>174</v>
      </c>
      <c r="AB64">
        <v>168.8</v>
      </c>
      <c r="AC64">
        <v>171.4</v>
      </c>
      <c r="AD64">
        <v>162.6</v>
      </c>
      <c r="AE64">
        <v>164.4</v>
      </c>
      <c r="AF64">
        <v>163.5</v>
      </c>
      <c r="AG64">
        <v>166.9</v>
      </c>
      <c r="AH64">
        <v>166.8</v>
      </c>
      <c r="AI64">
        <v>170.1</v>
      </c>
      <c r="AJ64">
        <v>167.93333333333337</v>
      </c>
    </row>
    <row r="65" spans="1:36">
      <c r="A65" t="s">
        <v>34</v>
      </c>
      <c r="B65">
        <v>2022</v>
      </c>
      <c r="C65" t="s">
        <v>38</v>
      </c>
      <c r="D65">
        <v>154.1</v>
      </c>
      <c r="E65">
        <v>217</v>
      </c>
      <c r="F65">
        <v>162.4</v>
      </c>
      <c r="G65">
        <v>164.9</v>
      </c>
      <c r="H65">
        <v>202.4</v>
      </c>
      <c r="I65">
        <v>171</v>
      </c>
      <c r="J65">
        <v>174.9</v>
      </c>
      <c r="K65">
        <v>164.7</v>
      </c>
      <c r="L65">
        <v>119.7</v>
      </c>
      <c r="M65">
        <v>184.9</v>
      </c>
      <c r="N65">
        <v>167.1</v>
      </c>
      <c r="O65">
        <v>182.5</v>
      </c>
      <c r="P65">
        <v>173.3</v>
      </c>
      <c r="Q65">
        <v>194.1</v>
      </c>
      <c r="R65">
        <v>173.78571428571431</v>
      </c>
      <c r="S65">
        <v>175.6</v>
      </c>
      <c r="T65">
        <v>168.4</v>
      </c>
      <c r="U65">
        <v>174.6</v>
      </c>
      <c r="V65">
        <v>172.86666666666667</v>
      </c>
      <c r="W65" t="s">
        <v>153</v>
      </c>
      <c r="X65">
        <v>174.6</v>
      </c>
      <c r="Y65">
        <v>165.2</v>
      </c>
      <c r="Z65">
        <v>169.89999999999998</v>
      </c>
      <c r="AA65">
        <v>174.8</v>
      </c>
      <c r="AB65">
        <v>168.4</v>
      </c>
      <c r="AC65">
        <v>171.60000000000002</v>
      </c>
      <c r="AD65">
        <v>163</v>
      </c>
      <c r="AE65">
        <v>165.1</v>
      </c>
      <c r="AF65">
        <v>164.05</v>
      </c>
      <c r="AG65">
        <v>167.9</v>
      </c>
      <c r="AH65">
        <v>167.5</v>
      </c>
      <c r="AI65">
        <v>171.7</v>
      </c>
      <c r="AJ65">
        <v>169.03333333333333</v>
      </c>
    </row>
    <row r="66" spans="1:36">
      <c r="A66" t="s">
        <v>34</v>
      </c>
      <c r="B66">
        <v>2022</v>
      </c>
      <c r="C66" t="s">
        <v>39</v>
      </c>
      <c r="D66">
        <v>155</v>
      </c>
      <c r="E66">
        <v>219.4</v>
      </c>
      <c r="F66">
        <v>170.8</v>
      </c>
      <c r="G66">
        <v>165.8</v>
      </c>
      <c r="H66">
        <v>200.9</v>
      </c>
      <c r="I66">
        <v>169.7</v>
      </c>
      <c r="J66">
        <v>182.3</v>
      </c>
      <c r="K66">
        <v>164.3</v>
      </c>
      <c r="L66">
        <v>119.9</v>
      </c>
      <c r="M66">
        <v>187.1</v>
      </c>
      <c r="N66">
        <v>167.9</v>
      </c>
      <c r="O66">
        <v>183.9</v>
      </c>
      <c r="P66">
        <v>174.9</v>
      </c>
      <c r="Q66">
        <v>194.3</v>
      </c>
      <c r="R66">
        <v>175.44285714285715</v>
      </c>
      <c r="S66">
        <v>177.1</v>
      </c>
      <c r="T66">
        <v>169.9</v>
      </c>
      <c r="U66">
        <v>176</v>
      </c>
      <c r="V66">
        <v>174.33333333333334</v>
      </c>
      <c r="W66" t="s">
        <v>154</v>
      </c>
      <c r="X66">
        <v>176</v>
      </c>
      <c r="Y66">
        <v>166.4</v>
      </c>
      <c r="Z66">
        <v>171.2</v>
      </c>
      <c r="AA66">
        <v>175.4</v>
      </c>
      <c r="AB66">
        <v>169.4</v>
      </c>
      <c r="AC66">
        <v>172.4</v>
      </c>
      <c r="AD66">
        <v>161.1</v>
      </c>
      <c r="AE66">
        <v>165.8</v>
      </c>
      <c r="AF66">
        <v>163.44999999999999</v>
      </c>
      <c r="AG66">
        <v>169</v>
      </c>
      <c r="AH66">
        <v>167.5</v>
      </c>
      <c r="AI66">
        <v>172.6</v>
      </c>
      <c r="AJ66">
        <v>169.70000000000002</v>
      </c>
    </row>
    <row r="67" spans="1:36">
      <c r="A67" t="s">
        <v>34</v>
      </c>
      <c r="B67">
        <v>2022</v>
      </c>
      <c r="C67" t="s">
        <v>40</v>
      </c>
      <c r="D67">
        <v>156.5</v>
      </c>
      <c r="E67">
        <v>213</v>
      </c>
      <c r="F67">
        <v>175.2</v>
      </c>
      <c r="G67">
        <v>166.6</v>
      </c>
      <c r="H67">
        <v>195.8</v>
      </c>
      <c r="I67">
        <v>174.2</v>
      </c>
      <c r="J67">
        <v>182.1</v>
      </c>
      <c r="K67">
        <v>164.3</v>
      </c>
      <c r="L67">
        <v>120</v>
      </c>
      <c r="M67">
        <v>190</v>
      </c>
      <c r="N67">
        <v>168.4</v>
      </c>
      <c r="O67">
        <v>185.2</v>
      </c>
      <c r="P67">
        <v>175</v>
      </c>
      <c r="Q67">
        <v>194.6</v>
      </c>
      <c r="R67">
        <v>175.77857142857144</v>
      </c>
      <c r="S67">
        <v>178.3</v>
      </c>
      <c r="T67">
        <v>171.3</v>
      </c>
      <c r="U67">
        <v>177.3</v>
      </c>
      <c r="V67">
        <v>175.63333333333335</v>
      </c>
      <c r="W67" t="s">
        <v>155</v>
      </c>
      <c r="X67">
        <v>179.6</v>
      </c>
      <c r="Y67">
        <v>167.4</v>
      </c>
      <c r="Z67">
        <v>173.5</v>
      </c>
      <c r="AA67">
        <v>176.1</v>
      </c>
      <c r="AB67">
        <v>169.7</v>
      </c>
      <c r="AC67">
        <v>172.89999999999998</v>
      </c>
      <c r="AD67">
        <v>161.6</v>
      </c>
      <c r="AE67">
        <v>166.3</v>
      </c>
      <c r="AF67">
        <v>163.95</v>
      </c>
      <c r="AG67">
        <v>171.4</v>
      </c>
      <c r="AH67">
        <v>168.4</v>
      </c>
      <c r="AI67">
        <v>173.4</v>
      </c>
      <c r="AJ67">
        <v>171.06666666666669</v>
      </c>
    </row>
    <row r="68" spans="1:36">
      <c r="A68" t="s">
        <v>34</v>
      </c>
      <c r="B68">
        <v>2022</v>
      </c>
      <c r="C68" t="s">
        <v>41</v>
      </c>
      <c r="D68">
        <v>160.30000000000001</v>
      </c>
      <c r="E68">
        <v>206.5</v>
      </c>
      <c r="F68">
        <v>169.2</v>
      </c>
      <c r="G68">
        <v>168.1</v>
      </c>
      <c r="H68">
        <v>192.4</v>
      </c>
      <c r="I68">
        <v>172.9</v>
      </c>
      <c r="J68">
        <v>186.7</v>
      </c>
      <c r="K68">
        <v>167.2</v>
      </c>
      <c r="L68">
        <v>120.9</v>
      </c>
      <c r="M68">
        <v>193.6</v>
      </c>
      <c r="N68">
        <v>168.8</v>
      </c>
      <c r="O68">
        <v>186.3</v>
      </c>
      <c r="P68">
        <v>176.3</v>
      </c>
      <c r="Q68">
        <v>195</v>
      </c>
      <c r="R68">
        <v>176.01428571428573</v>
      </c>
      <c r="S68">
        <v>179.5</v>
      </c>
      <c r="T68">
        <v>172.7</v>
      </c>
      <c r="U68">
        <v>178.5</v>
      </c>
      <c r="V68">
        <v>176.9</v>
      </c>
      <c r="W68" t="s">
        <v>156</v>
      </c>
      <c r="X68">
        <v>178.8</v>
      </c>
      <c r="Y68">
        <v>168.5</v>
      </c>
      <c r="Z68">
        <v>173.65</v>
      </c>
      <c r="AA68">
        <v>176.8</v>
      </c>
      <c r="AB68">
        <v>171.2</v>
      </c>
      <c r="AC68">
        <v>174</v>
      </c>
      <c r="AD68">
        <v>161.9</v>
      </c>
      <c r="AE68">
        <v>166.9</v>
      </c>
      <c r="AF68">
        <v>164.4</v>
      </c>
      <c r="AG68">
        <v>172.3</v>
      </c>
      <c r="AH68">
        <v>169.1</v>
      </c>
      <c r="AI68">
        <v>174.3</v>
      </c>
      <c r="AJ68">
        <v>171.9</v>
      </c>
    </row>
    <row r="69" spans="1:36">
      <c r="A69" t="s">
        <v>34</v>
      </c>
      <c r="B69">
        <v>2022</v>
      </c>
      <c r="C69" t="s">
        <v>42</v>
      </c>
      <c r="D69">
        <v>163.5</v>
      </c>
      <c r="E69">
        <v>209.2</v>
      </c>
      <c r="F69">
        <v>169.7</v>
      </c>
      <c r="G69">
        <v>169.7</v>
      </c>
      <c r="H69">
        <v>188.7</v>
      </c>
      <c r="I69">
        <v>165.7</v>
      </c>
      <c r="J69">
        <v>191.8</v>
      </c>
      <c r="K69">
        <v>169.1</v>
      </c>
      <c r="L69">
        <v>121.6</v>
      </c>
      <c r="M69">
        <v>197.3</v>
      </c>
      <c r="N69">
        <v>169.4</v>
      </c>
      <c r="O69">
        <v>187.4</v>
      </c>
      <c r="P69">
        <v>177.8</v>
      </c>
      <c r="Q69">
        <v>195.9</v>
      </c>
      <c r="R69">
        <v>176.91428571428574</v>
      </c>
      <c r="S69">
        <v>180.9</v>
      </c>
      <c r="T69">
        <v>174.3</v>
      </c>
      <c r="U69">
        <v>179.9</v>
      </c>
      <c r="V69">
        <v>178.36666666666667</v>
      </c>
      <c r="W69" t="s">
        <v>157</v>
      </c>
      <c r="X69">
        <v>179.5</v>
      </c>
      <c r="Y69">
        <v>169.5</v>
      </c>
      <c r="Z69">
        <v>174.5</v>
      </c>
      <c r="AA69">
        <v>177.8</v>
      </c>
      <c r="AB69">
        <v>170.9</v>
      </c>
      <c r="AC69">
        <v>174.35000000000002</v>
      </c>
      <c r="AD69">
        <v>162.30000000000001</v>
      </c>
      <c r="AE69">
        <v>167.6</v>
      </c>
      <c r="AF69">
        <v>164.95</v>
      </c>
      <c r="AG69">
        <v>173.1</v>
      </c>
      <c r="AH69">
        <v>169.7</v>
      </c>
      <c r="AI69">
        <v>175.3</v>
      </c>
      <c r="AJ69">
        <v>172.69999999999996</v>
      </c>
    </row>
    <row r="70" spans="1:36">
      <c r="A70" t="s">
        <v>34</v>
      </c>
      <c r="B70">
        <v>2022</v>
      </c>
      <c r="C70" t="s">
        <v>43</v>
      </c>
      <c r="D70">
        <v>165.2</v>
      </c>
      <c r="E70">
        <v>210.9</v>
      </c>
      <c r="F70">
        <v>170.9</v>
      </c>
      <c r="G70">
        <v>170.9</v>
      </c>
      <c r="H70">
        <v>186.5</v>
      </c>
      <c r="I70">
        <v>163.80000000000001</v>
      </c>
      <c r="J70">
        <v>199.7</v>
      </c>
      <c r="K70">
        <v>169.8</v>
      </c>
      <c r="L70">
        <v>121.9</v>
      </c>
      <c r="M70">
        <v>199.9</v>
      </c>
      <c r="N70">
        <v>169.9</v>
      </c>
      <c r="O70">
        <v>188.3</v>
      </c>
      <c r="P70">
        <v>179.6</v>
      </c>
      <c r="Q70">
        <v>196.3</v>
      </c>
      <c r="R70">
        <v>178.11428571428573</v>
      </c>
      <c r="S70">
        <v>181.9</v>
      </c>
      <c r="T70">
        <v>175.3</v>
      </c>
      <c r="U70">
        <v>181</v>
      </c>
      <c r="V70">
        <v>179.4</v>
      </c>
      <c r="W70" t="s">
        <v>158</v>
      </c>
      <c r="X70">
        <v>180.5</v>
      </c>
      <c r="Y70">
        <v>170.4</v>
      </c>
      <c r="Z70">
        <v>175.45</v>
      </c>
      <c r="AA70">
        <v>178.7</v>
      </c>
      <c r="AB70">
        <v>172.1</v>
      </c>
      <c r="AC70">
        <v>175.39999999999998</v>
      </c>
      <c r="AD70">
        <v>162.9</v>
      </c>
      <c r="AE70">
        <v>168.2</v>
      </c>
      <c r="AF70">
        <v>165.55</v>
      </c>
      <c r="AG70">
        <v>173.4</v>
      </c>
      <c r="AH70">
        <v>170.5</v>
      </c>
      <c r="AI70">
        <v>176.7</v>
      </c>
      <c r="AJ70">
        <v>173.5333333333333</v>
      </c>
    </row>
    <row r="71" spans="1:36">
      <c r="A71" t="s">
        <v>34</v>
      </c>
      <c r="B71">
        <v>2022</v>
      </c>
      <c r="C71" t="s">
        <v>45</v>
      </c>
      <c r="D71">
        <v>167.4</v>
      </c>
      <c r="E71">
        <v>209.4</v>
      </c>
      <c r="F71">
        <v>181.4</v>
      </c>
      <c r="G71">
        <v>172.3</v>
      </c>
      <c r="H71">
        <v>188.9</v>
      </c>
      <c r="I71">
        <v>160.69999999999999</v>
      </c>
      <c r="J71">
        <v>183.1</v>
      </c>
      <c r="K71">
        <v>170.5</v>
      </c>
      <c r="L71">
        <v>122.1</v>
      </c>
      <c r="M71">
        <v>202.8</v>
      </c>
      <c r="N71">
        <v>170.4</v>
      </c>
      <c r="O71">
        <v>189.5</v>
      </c>
      <c r="P71">
        <v>178.3</v>
      </c>
      <c r="Q71">
        <v>196.9</v>
      </c>
      <c r="R71">
        <v>178.12142857142859</v>
      </c>
      <c r="S71">
        <v>183.1</v>
      </c>
      <c r="T71">
        <v>176.2</v>
      </c>
      <c r="U71">
        <v>182.1</v>
      </c>
      <c r="V71">
        <v>180.46666666666667</v>
      </c>
      <c r="W71" t="s">
        <v>159</v>
      </c>
      <c r="X71">
        <v>181.3</v>
      </c>
      <c r="Y71">
        <v>171.4</v>
      </c>
      <c r="Z71">
        <v>176.35000000000002</v>
      </c>
      <c r="AA71">
        <v>179.8</v>
      </c>
      <c r="AB71">
        <v>173.6</v>
      </c>
      <c r="AC71">
        <v>176.7</v>
      </c>
      <c r="AD71">
        <v>163</v>
      </c>
      <c r="AE71">
        <v>168.5</v>
      </c>
      <c r="AF71">
        <v>165.75</v>
      </c>
      <c r="AG71">
        <v>173.7</v>
      </c>
      <c r="AH71">
        <v>171.1</v>
      </c>
      <c r="AI71">
        <v>176.5</v>
      </c>
      <c r="AJ71">
        <v>173.76666666666665</v>
      </c>
    </row>
    <row r="72" spans="1:36">
      <c r="A72" t="s">
        <v>34</v>
      </c>
      <c r="B72">
        <v>2022</v>
      </c>
      <c r="C72" t="s">
        <v>46</v>
      </c>
      <c r="D72">
        <v>169.2</v>
      </c>
      <c r="E72">
        <v>209</v>
      </c>
      <c r="F72">
        <v>190.2</v>
      </c>
      <c r="G72">
        <v>173.6</v>
      </c>
      <c r="H72">
        <v>188.5</v>
      </c>
      <c r="I72">
        <v>158</v>
      </c>
      <c r="J72">
        <v>159.9</v>
      </c>
      <c r="K72">
        <v>170.8</v>
      </c>
      <c r="L72">
        <v>121.8</v>
      </c>
      <c r="M72">
        <v>205.2</v>
      </c>
      <c r="N72">
        <v>171</v>
      </c>
      <c r="O72">
        <v>190.3</v>
      </c>
      <c r="P72">
        <v>175.9</v>
      </c>
      <c r="Q72">
        <v>197.3</v>
      </c>
      <c r="R72">
        <v>177.19285714285715</v>
      </c>
      <c r="S72">
        <v>184</v>
      </c>
      <c r="T72">
        <v>177</v>
      </c>
      <c r="U72">
        <v>183</v>
      </c>
      <c r="V72">
        <v>181.33333333333334</v>
      </c>
      <c r="W72" t="s">
        <v>160</v>
      </c>
      <c r="X72">
        <v>182</v>
      </c>
      <c r="Y72">
        <v>172.1</v>
      </c>
      <c r="Z72">
        <v>177.05</v>
      </c>
      <c r="AA72">
        <v>181.1</v>
      </c>
      <c r="AB72">
        <v>175.8</v>
      </c>
      <c r="AC72">
        <v>178.45</v>
      </c>
      <c r="AD72">
        <v>163.4</v>
      </c>
      <c r="AE72">
        <v>168.9</v>
      </c>
      <c r="AF72">
        <v>166.15</v>
      </c>
      <c r="AG72">
        <v>174.1</v>
      </c>
      <c r="AH72">
        <v>172</v>
      </c>
      <c r="AI72">
        <v>175.7</v>
      </c>
      <c r="AJ72">
        <v>173.93333333333331</v>
      </c>
    </row>
    <row r="73" spans="1:36">
      <c r="A73" t="s">
        <v>34</v>
      </c>
      <c r="B73">
        <v>2023</v>
      </c>
      <c r="C73" t="s">
        <v>31</v>
      </c>
      <c r="D73">
        <v>173.8</v>
      </c>
      <c r="E73">
        <v>210.7</v>
      </c>
      <c r="F73">
        <v>194.5</v>
      </c>
      <c r="G73">
        <v>174.6</v>
      </c>
      <c r="H73">
        <v>187.2</v>
      </c>
      <c r="I73">
        <v>158.30000000000001</v>
      </c>
      <c r="J73">
        <v>153.9</v>
      </c>
      <c r="K73">
        <v>170.9</v>
      </c>
      <c r="L73">
        <v>121.1</v>
      </c>
      <c r="M73">
        <v>208.4</v>
      </c>
      <c r="N73">
        <v>171.4</v>
      </c>
      <c r="O73">
        <v>191.2</v>
      </c>
      <c r="P73">
        <v>176.7</v>
      </c>
      <c r="Q73">
        <v>198.2</v>
      </c>
      <c r="R73">
        <v>177.92142857142855</v>
      </c>
      <c r="S73">
        <v>184.9</v>
      </c>
      <c r="T73">
        <v>177.6</v>
      </c>
      <c r="U73">
        <v>183.8</v>
      </c>
      <c r="V73">
        <v>182.1</v>
      </c>
      <c r="W73" t="s">
        <v>161</v>
      </c>
      <c r="X73">
        <v>182</v>
      </c>
      <c r="Y73">
        <v>172.9</v>
      </c>
      <c r="Z73">
        <v>177.45</v>
      </c>
      <c r="AA73">
        <v>182.3</v>
      </c>
      <c r="AB73">
        <v>178.6</v>
      </c>
      <c r="AC73">
        <v>180.45</v>
      </c>
      <c r="AD73">
        <v>163.6</v>
      </c>
      <c r="AE73">
        <v>169.5</v>
      </c>
      <c r="AF73">
        <v>166.55</v>
      </c>
      <c r="AG73">
        <v>174.3</v>
      </c>
      <c r="AH73">
        <v>172.8</v>
      </c>
      <c r="AI73">
        <v>176.5</v>
      </c>
      <c r="AJ73">
        <v>174.53333333333333</v>
      </c>
    </row>
    <row r="74" spans="1:36">
      <c r="A74" t="s">
        <v>34</v>
      </c>
      <c r="B74">
        <v>2023</v>
      </c>
      <c r="C74" t="s">
        <v>35</v>
      </c>
      <c r="D74">
        <v>174.4</v>
      </c>
      <c r="E74">
        <v>207.7</v>
      </c>
      <c r="F74">
        <v>175.2</v>
      </c>
      <c r="G74">
        <v>177.3</v>
      </c>
      <c r="H74">
        <v>179.3</v>
      </c>
      <c r="I74">
        <v>169.5</v>
      </c>
      <c r="J74">
        <v>152.69999999999999</v>
      </c>
      <c r="K74">
        <v>171</v>
      </c>
      <c r="L74">
        <v>120</v>
      </c>
      <c r="M74">
        <v>209.7</v>
      </c>
      <c r="N74">
        <v>172.3</v>
      </c>
      <c r="O74">
        <v>193</v>
      </c>
      <c r="P74">
        <v>177</v>
      </c>
      <c r="Q74">
        <v>199.5</v>
      </c>
      <c r="R74">
        <v>177.04285714285714</v>
      </c>
      <c r="S74">
        <v>186.2</v>
      </c>
      <c r="T74">
        <v>178.7</v>
      </c>
      <c r="U74">
        <v>185.1</v>
      </c>
      <c r="V74">
        <v>183.33333333333334</v>
      </c>
      <c r="W74" t="s">
        <v>162</v>
      </c>
      <c r="X74">
        <v>182.1</v>
      </c>
      <c r="Y74">
        <v>174.2</v>
      </c>
      <c r="Z74">
        <v>178.14999999999998</v>
      </c>
      <c r="AA74">
        <v>184.4</v>
      </c>
      <c r="AB74">
        <v>181</v>
      </c>
      <c r="AC74">
        <v>182.7</v>
      </c>
      <c r="AD74">
        <v>164.2</v>
      </c>
      <c r="AE74">
        <v>170.3</v>
      </c>
      <c r="AF74">
        <v>167.25</v>
      </c>
      <c r="AG74">
        <v>175</v>
      </c>
      <c r="AH74">
        <v>174.1</v>
      </c>
      <c r="AI74">
        <v>177.2</v>
      </c>
      <c r="AJ74">
        <v>175.43333333333331</v>
      </c>
    </row>
    <row r="75" spans="1:36">
      <c r="A75" t="s">
        <v>34</v>
      </c>
      <c r="B75">
        <v>2023</v>
      </c>
      <c r="C75" t="s">
        <v>36</v>
      </c>
      <c r="D75">
        <v>174.4</v>
      </c>
      <c r="E75">
        <v>207.7</v>
      </c>
      <c r="F75">
        <v>175.2</v>
      </c>
      <c r="G75">
        <v>177.3</v>
      </c>
      <c r="H75">
        <v>179.2</v>
      </c>
      <c r="I75">
        <v>169.5</v>
      </c>
      <c r="J75">
        <v>152.80000000000001</v>
      </c>
      <c r="K75">
        <v>171.1</v>
      </c>
      <c r="L75">
        <v>120</v>
      </c>
      <c r="M75">
        <v>209.7</v>
      </c>
      <c r="N75">
        <v>172.3</v>
      </c>
      <c r="O75">
        <v>193</v>
      </c>
      <c r="P75">
        <v>177</v>
      </c>
      <c r="Q75">
        <v>199.5</v>
      </c>
      <c r="R75">
        <v>177.04999999999998</v>
      </c>
      <c r="S75">
        <v>186.1</v>
      </c>
      <c r="T75">
        <v>178.7</v>
      </c>
      <c r="U75">
        <v>185.1</v>
      </c>
      <c r="V75">
        <v>183.29999999999998</v>
      </c>
      <c r="W75" t="s">
        <v>162</v>
      </c>
      <c r="X75">
        <v>181.9</v>
      </c>
      <c r="Y75">
        <v>174.2</v>
      </c>
      <c r="Z75">
        <v>178.05</v>
      </c>
      <c r="AA75">
        <v>184.4</v>
      </c>
      <c r="AB75">
        <v>181</v>
      </c>
      <c r="AC75">
        <v>182.7</v>
      </c>
      <c r="AD75">
        <v>164.2</v>
      </c>
      <c r="AE75">
        <v>170.3</v>
      </c>
      <c r="AF75">
        <v>167.25</v>
      </c>
      <c r="AG75">
        <v>175</v>
      </c>
      <c r="AH75">
        <v>174.1</v>
      </c>
      <c r="AI75">
        <v>177.2</v>
      </c>
      <c r="AJ75">
        <v>175.43333333333331</v>
      </c>
    </row>
    <row r="76" spans="1:36">
      <c r="A76" t="s">
        <v>34</v>
      </c>
      <c r="B76">
        <v>2023</v>
      </c>
      <c r="C76" t="s">
        <v>37</v>
      </c>
      <c r="D76">
        <v>173.8</v>
      </c>
      <c r="E76">
        <v>209.3</v>
      </c>
      <c r="F76">
        <v>169.6</v>
      </c>
      <c r="G76">
        <v>178.4</v>
      </c>
      <c r="H76">
        <v>174.9</v>
      </c>
      <c r="I76">
        <v>176.3</v>
      </c>
      <c r="J76">
        <v>155.4</v>
      </c>
      <c r="K76">
        <v>173.4</v>
      </c>
      <c r="L76">
        <v>121.3</v>
      </c>
      <c r="M76">
        <v>212.9</v>
      </c>
      <c r="N76">
        <v>172.9</v>
      </c>
      <c r="O76">
        <v>193.5</v>
      </c>
      <c r="P76">
        <v>177.9</v>
      </c>
      <c r="Q76">
        <v>200.6</v>
      </c>
      <c r="R76">
        <v>177.87142857142859</v>
      </c>
      <c r="S76">
        <v>186.9</v>
      </c>
      <c r="T76">
        <v>179.2</v>
      </c>
      <c r="U76">
        <v>185.7</v>
      </c>
      <c r="V76">
        <v>183.93333333333331</v>
      </c>
      <c r="W76" t="s">
        <v>163</v>
      </c>
      <c r="X76">
        <v>181.7</v>
      </c>
      <c r="Y76">
        <v>174.6</v>
      </c>
      <c r="Z76">
        <v>178.14999999999998</v>
      </c>
      <c r="AA76">
        <v>185</v>
      </c>
      <c r="AB76">
        <v>184</v>
      </c>
      <c r="AC76">
        <v>184.5</v>
      </c>
      <c r="AD76">
        <v>164.5</v>
      </c>
      <c r="AE76">
        <v>170.7</v>
      </c>
      <c r="AF76">
        <v>167.6</v>
      </c>
      <c r="AG76">
        <v>176.4</v>
      </c>
      <c r="AH76">
        <v>175</v>
      </c>
      <c r="AI76">
        <v>178.1</v>
      </c>
      <c r="AJ76">
        <v>176.5</v>
      </c>
    </row>
    <row r="77" spans="1:36">
      <c r="A77" t="s">
        <v>34</v>
      </c>
      <c r="B77">
        <v>2023</v>
      </c>
      <c r="C77" t="s">
        <v>38</v>
      </c>
      <c r="D77">
        <v>173.7</v>
      </c>
      <c r="E77">
        <v>214.3</v>
      </c>
      <c r="F77">
        <v>173.2</v>
      </c>
      <c r="G77">
        <v>179.5</v>
      </c>
      <c r="H77">
        <v>170</v>
      </c>
      <c r="I77">
        <v>172.2</v>
      </c>
      <c r="J77">
        <v>161</v>
      </c>
      <c r="K77">
        <v>175.6</v>
      </c>
      <c r="L77">
        <v>122.7</v>
      </c>
      <c r="M77">
        <v>218</v>
      </c>
      <c r="N77">
        <v>173.4</v>
      </c>
      <c r="O77">
        <v>194.2</v>
      </c>
      <c r="P77">
        <v>179.1</v>
      </c>
      <c r="Q77">
        <v>201</v>
      </c>
      <c r="R77">
        <v>179.1357142857143</v>
      </c>
      <c r="S77">
        <v>187.3</v>
      </c>
      <c r="T77">
        <v>179.7</v>
      </c>
      <c r="U77">
        <v>186.2</v>
      </c>
      <c r="V77">
        <v>184.4</v>
      </c>
      <c r="W77" t="s">
        <v>164</v>
      </c>
      <c r="X77">
        <v>182.8</v>
      </c>
      <c r="Y77">
        <v>175.2</v>
      </c>
      <c r="Z77">
        <v>179</v>
      </c>
      <c r="AA77">
        <v>185.7</v>
      </c>
      <c r="AB77">
        <v>185.2</v>
      </c>
      <c r="AC77">
        <v>185.45</v>
      </c>
      <c r="AD77">
        <v>164.8</v>
      </c>
      <c r="AE77">
        <v>171.2</v>
      </c>
      <c r="AF77">
        <v>168</v>
      </c>
      <c r="AG77">
        <v>177.1</v>
      </c>
      <c r="AH77">
        <v>175.7</v>
      </c>
      <c r="AI77">
        <v>179.1</v>
      </c>
      <c r="AJ77">
        <v>177.29999999999998</v>
      </c>
    </row>
    <row r="79" spans="1:36">
      <c r="B79">
        <v>2017</v>
      </c>
      <c r="D79">
        <v>3</v>
      </c>
      <c r="E79">
        <v>5.1000000000000227</v>
      </c>
      <c r="F79">
        <v>13</v>
      </c>
      <c r="G79">
        <v>5.5999999999999943</v>
      </c>
      <c r="H79">
        <v>1.4000000000000057</v>
      </c>
      <c r="I79">
        <v>8.5</v>
      </c>
      <c r="J79">
        <v>42.299999999999983</v>
      </c>
      <c r="K79">
        <v>-30.400000000000006</v>
      </c>
      <c r="L79">
        <v>5.9000000000000057</v>
      </c>
      <c r="M79">
        <v>-2.5</v>
      </c>
      <c r="N79">
        <v>2.2000000000000171</v>
      </c>
      <c r="O79">
        <v>6.1999999999999886</v>
      </c>
      <c r="P79">
        <v>7.4000000000000057</v>
      </c>
      <c r="Q79">
        <v>10.399999999999977</v>
      </c>
      <c r="R79">
        <v>5.5785714285714789</v>
      </c>
      <c r="S79">
        <v>6.5</v>
      </c>
      <c r="T79">
        <v>4.9000000000000057</v>
      </c>
      <c r="U79">
        <v>6.4000000000000057</v>
      </c>
      <c r="V79">
        <v>5.9333333333333371</v>
      </c>
      <c r="W79">
        <v>7.8000000000000114</v>
      </c>
      <c r="X79">
        <v>9.7999999999999972</v>
      </c>
      <c r="Y79">
        <v>5.2999999999999829</v>
      </c>
      <c r="Z79">
        <v>7.6333333333333542</v>
      </c>
      <c r="AA79">
        <v>6</v>
      </c>
      <c r="AB79">
        <v>4.7999999999999972</v>
      </c>
      <c r="AC79">
        <v>5.4000000000000057</v>
      </c>
      <c r="AD79">
        <v>1.5</v>
      </c>
      <c r="AE79">
        <v>4.7999999999999972</v>
      </c>
      <c r="AF79">
        <v>3.1500000000000057</v>
      </c>
      <c r="AG79">
        <v>5.1999999999999886</v>
      </c>
      <c r="AH79">
        <v>4.1999999999999886</v>
      </c>
      <c r="AI79">
        <v>6.8999999999999773</v>
      </c>
      <c r="AJ79">
        <v>5.4333333333333371</v>
      </c>
    </row>
    <row r="80" spans="1:36">
      <c r="B80">
        <v>2018</v>
      </c>
      <c r="D80">
        <v>1.5</v>
      </c>
      <c r="E80">
        <v>6.3000000000000114</v>
      </c>
      <c r="F80">
        <v>-4.8999999999999773</v>
      </c>
      <c r="G80">
        <v>1</v>
      </c>
      <c r="H80">
        <v>1.2999999999999972</v>
      </c>
      <c r="I80">
        <v>-1.9000000000000057</v>
      </c>
      <c r="J80">
        <v>-16.400000000000006</v>
      </c>
      <c r="K80">
        <v>-7.5</v>
      </c>
      <c r="L80">
        <v>-8.5</v>
      </c>
      <c r="M80">
        <v>3.0999999999999943</v>
      </c>
      <c r="N80">
        <v>4.8000000000000114</v>
      </c>
      <c r="O80">
        <v>5.0999999999999943</v>
      </c>
      <c r="P80">
        <v>-1</v>
      </c>
      <c r="Q80">
        <v>8.3000000000000114</v>
      </c>
      <c r="R80">
        <v>-0.62857142857143344</v>
      </c>
      <c r="S80">
        <v>4.5999999999999943</v>
      </c>
      <c r="T80">
        <v>3.9000000000000057</v>
      </c>
      <c r="U80">
        <v>4.5</v>
      </c>
      <c r="V80">
        <v>4.3333333333333428</v>
      </c>
      <c r="W80">
        <v>9.1999999999999886</v>
      </c>
      <c r="X80">
        <v>6.0999999999999943</v>
      </c>
      <c r="Y80">
        <v>8.2999999999999829</v>
      </c>
      <c r="Z80">
        <v>7.8666666666666742</v>
      </c>
      <c r="AA80">
        <v>11.599999999999994</v>
      </c>
      <c r="AB80">
        <v>4.8999999999999915</v>
      </c>
      <c r="AC80">
        <v>8.25</v>
      </c>
      <c r="AD80">
        <v>4.2999999999999972</v>
      </c>
      <c r="AE80">
        <v>7.1000000000000227</v>
      </c>
      <c r="AF80">
        <v>5.6999999999999886</v>
      </c>
      <c r="AG80">
        <v>11.099999999999994</v>
      </c>
      <c r="AH80">
        <v>7.7000000000000171</v>
      </c>
      <c r="AI80">
        <v>3.1999999999999886</v>
      </c>
      <c r="AJ80">
        <v>7.3333333333333428</v>
      </c>
    </row>
    <row r="81" spans="2:36">
      <c r="B81">
        <v>2019</v>
      </c>
      <c r="D81">
        <v>6.4000000000000057</v>
      </c>
      <c r="E81">
        <v>13.599999999999994</v>
      </c>
      <c r="F81">
        <v>10.900000000000006</v>
      </c>
      <c r="G81">
        <v>6.2000000000000171</v>
      </c>
      <c r="H81">
        <v>3.9000000000000057</v>
      </c>
      <c r="I81">
        <v>10.299999999999983</v>
      </c>
      <c r="J81">
        <v>85.699999999999989</v>
      </c>
      <c r="K81">
        <v>18.000000000000014</v>
      </c>
      <c r="L81">
        <v>4.9000000000000057</v>
      </c>
      <c r="M81">
        <v>9.2999999999999829</v>
      </c>
      <c r="N81">
        <v>2.5</v>
      </c>
      <c r="O81">
        <v>3.4000000000000057</v>
      </c>
      <c r="P81">
        <v>17.599999999999994</v>
      </c>
      <c r="Q81">
        <v>5.3000000000000114</v>
      </c>
      <c r="R81">
        <v>14.142857142857167</v>
      </c>
      <c r="S81">
        <v>2.7000000000000171</v>
      </c>
      <c r="T81">
        <v>2.3000000000000114</v>
      </c>
      <c r="U81">
        <v>2.5999999999999943</v>
      </c>
      <c r="V81">
        <v>2.5333333333333314</v>
      </c>
      <c r="W81">
        <v>-12.5</v>
      </c>
      <c r="X81">
        <v>4.1999999999999886</v>
      </c>
      <c r="Y81">
        <v>2.2000000000000171</v>
      </c>
      <c r="Z81">
        <v>-4.7166666666666686</v>
      </c>
      <c r="AA81">
        <v>5.3000000000000114</v>
      </c>
      <c r="AB81">
        <v>7.5999999999999943</v>
      </c>
      <c r="AC81">
        <v>6.4500000000000171</v>
      </c>
      <c r="AD81">
        <v>6.5000000000000142</v>
      </c>
      <c r="AE81">
        <v>5.6000000000000227</v>
      </c>
      <c r="AF81">
        <v>6.0500000000000114</v>
      </c>
      <c r="AG81">
        <v>5.5</v>
      </c>
      <c r="AH81">
        <v>5.5999999999999943</v>
      </c>
      <c r="AI81">
        <v>10.800000000000011</v>
      </c>
      <c r="AJ81">
        <v>7.2999999999999829</v>
      </c>
    </row>
    <row r="82" spans="2:36">
      <c r="B82">
        <v>2020</v>
      </c>
      <c r="D82">
        <v>1.6999999999999886</v>
      </c>
      <c r="E82">
        <v>23.599999999999994</v>
      </c>
      <c r="F82">
        <v>20.400000000000006</v>
      </c>
      <c r="G82">
        <v>4</v>
      </c>
      <c r="H82">
        <v>16.699999999999989</v>
      </c>
      <c r="I82">
        <v>4.5</v>
      </c>
      <c r="J82">
        <v>33.5</v>
      </c>
      <c r="K82">
        <v>19.799999999999983</v>
      </c>
      <c r="L82">
        <v>1.2000000000000028</v>
      </c>
      <c r="M82">
        <v>12.099999999999994</v>
      </c>
      <c r="N82">
        <v>13.099999999999994</v>
      </c>
      <c r="O82">
        <v>6.2000000000000171</v>
      </c>
      <c r="P82">
        <v>11.900000000000006</v>
      </c>
      <c r="Q82">
        <v>16.200000000000017</v>
      </c>
      <c r="R82">
        <v>13.207142857142856</v>
      </c>
      <c r="S82">
        <v>4.5</v>
      </c>
      <c r="T82">
        <v>3.9000000000000057</v>
      </c>
      <c r="U82">
        <v>4.4000000000000057</v>
      </c>
      <c r="V82">
        <v>4.2666666666666799</v>
      </c>
      <c r="W82">
        <v>4.5</v>
      </c>
      <c r="X82">
        <v>0</v>
      </c>
      <c r="Y82">
        <v>3.5</v>
      </c>
      <c r="Z82">
        <v>1.75</v>
      </c>
      <c r="AA82">
        <v>7.1000000000000227</v>
      </c>
      <c r="AB82">
        <v>14.799999999999983</v>
      </c>
      <c r="AC82">
        <v>10.949999999999989</v>
      </c>
      <c r="AD82">
        <v>9.7999999999999829</v>
      </c>
      <c r="AE82">
        <v>5.6999999999999886</v>
      </c>
      <c r="AF82">
        <v>7.7499999999999716</v>
      </c>
      <c r="AG82">
        <v>3.3000000000000114</v>
      </c>
      <c r="AH82">
        <v>7.7999999999999829</v>
      </c>
      <c r="AI82">
        <v>8.7000000000000171</v>
      </c>
      <c r="AJ82">
        <v>6.5999999999999943</v>
      </c>
    </row>
    <row r="83" spans="2:36">
      <c r="B83">
        <v>2021</v>
      </c>
      <c r="D83">
        <v>3.7999999999999829</v>
      </c>
      <c r="E83">
        <v>8.7000000000000171</v>
      </c>
      <c r="F83">
        <v>2.5999999999999943</v>
      </c>
      <c r="G83">
        <v>5.8000000000000114</v>
      </c>
      <c r="H83">
        <v>36.699999999999989</v>
      </c>
      <c r="I83">
        <v>5.3000000000000114</v>
      </c>
      <c r="J83">
        <v>-5.8999999999999773</v>
      </c>
      <c r="K83">
        <v>4</v>
      </c>
      <c r="L83">
        <v>6.4000000000000057</v>
      </c>
      <c r="M83">
        <v>6.5</v>
      </c>
      <c r="N83">
        <v>12.399999999999977</v>
      </c>
      <c r="O83">
        <v>10.900000000000006</v>
      </c>
      <c r="P83">
        <v>7.1999999999999886</v>
      </c>
      <c r="Q83">
        <v>5.9000000000000057</v>
      </c>
      <c r="R83">
        <v>7.8785714285714334</v>
      </c>
      <c r="S83">
        <v>13</v>
      </c>
      <c r="T83">
        <v>12.599999999999994</v>
      </c>
      <c r="U83">
        <v>12.800000000000011</v>
      </c>
      <c r="V83">
        <v>12.799999999999983</v>
      </c>
      <c r="W83">
        <v>5.7000000000000171</v>
      </c>
      <c r="X83">
        <v>16.199999999999989</v>
      </c>
      <c r="Y83">
        <v>10.199999999999989</v>
      </c>
      <c r="Z83">
        <v>13.199999999999989</v>
      </c>
      <c r="AA83">
        <v>11.299999999999983</v>
      </c>
      <c r="AB83">
        <v>5.7999999999999829</v>
      </c>
      <c r="AC83">
        <v>8.5499999999999829</v>
      </c>
      <c r="AD83">
        <v>13.799999999999983</v>
      </c>
      <c r="AE83">
        <v>11</v>
      </c>
      <c r="AF83">
        <v>12.399999999999977</v>
      </c>
      <c r="AG83">
        <v>5.2000000000000171</v>
      </c>
      <c r="AH83">
        <v>10.099999999999994</v>
      </c>
      <c r="AI83">
        <v>8.8999999999999773</v>
      </c>
      <c r="AJ83">
        <v>8.0666666666666345</v>
      </c>
    </row>
    <row r="84" spans="2:36">
      <c r="B84">
        <v>2022</v>
      </c>
      <c r="D84">
        <v>19.699999999999989</v>
      </c>
      <c r="E84">
        <v>10.300000000000011</v>
      </c>
      <c r="F84">
        <v>11.399999999999977</v>
      </c>
      <c r="G84">
        <v>13.099999999999994</v>
      </c>
      <c r="H84">
        <v>3.8000000000000114</v>
      </c>
      <c r="I84">
        <v>4.3000000000000114</v>
      </c>
      <c r="J84">
        <v>-14.400000000000006</v>
      </c>
      <c r="K84">
        <v>6.9000000000000057</v>
      </c>
      <c r="L84">
        <v>1.7999999999999972</v>
      </c>
      <c r="M84">
        <v>33.099999999999994</v>
      </c>
      <c r="N84">
        <v>6.6999999999999886</v>
      </c>
      <c r="O84">
        <v>13</v>
      </c>
      <c r="P84">
        <v>9.5</v>
      </c>
      <c r="Q84">
        <v>5.1000000000000227</v>
      </c>
      <c r="R84">
        <v>8.8785714285714619</v>
      </c>
      <c r="S84">
        <v>14.099999999999994</v>
      </c>
      <c r="T84">
        <v>16.300000000000011</v>
      </c>
      <c r="U84">
        <v>14.5</v>
      </c>
      <c r="V84">
        <v>14.966666666666669</v>
      </c>
      <c r="W84">
        <v>6.1999999999999886</v>
      </c>
      <c r="X84">
        <v>17.800000000000011</v>
      </c>
      <c r="Y84">
        <v>11</v>
      </c>
      <c r="Z84">
        <v>14.400000000000034</v>
      </c>
      <c r="AA84">
        <v>9.6999999999999886</v>
      </c>
      <c r="AB84">
        <v>12.800000000000011</v>
      </c>
      <c r="AC84">
        <v>11.25</v>
      </c>
      <c r="AD84">
        <v>6.9000000000000057</v>
      </c>
      <c r="AE84">
        <v>7.7000000000000171</v>
      </c>
      <c r="AF84">
        <v>7.3000000000000114</v>
      </c>
      <c r="AG84">
        <v>9.4000000000000057</v>
      </c>
      <c r="AH84">
        <v>9.3000000000000114</v>
      </c>
      <c r="AI84">
        <v>10</v>
      </c>
      <c r="AJ84">
        <v>9.5666666666666629</v>
      </c>
    </row>
    <row r="85" spans="2:36">
      <c r="B85">
        <v>2023</v>
      </c>
      <c r="D85">
        <v>-0.10000000000002274</v>
      </c>
      <c r="E85">
        <v>3.6000000000000227</v>
      </c>
      <c r="F85">
        <v>-21.300000000000011</v>
      </c>
      <c r="G85">
        <v>4.9000000000000057</v>
      </c>
      <c r="H85">
        <v>-17.199999999999989</v>
      </c>
      <c r="I85">
        <v>13.899999999999977</v>
      </c>
      <c r="J85">
        <v>7.0999999999999943</v>
      </c>
      <c r="K85">
        <v>4.6999999999999886</v>
      </c>
      <c r="L85">
        <v>1.6000000000000085</v>
      </c>
      <c r="M85">
        <v>9.5999999999999943</v>
      </c>
      <c r="N85">
        <v>2</v>
      </c>
      <c r="O85">
        <v>3</v>
      </c>
      <c r="P85">
        <v>2.4000000000000057</v>
      </c>
      <c r="Q85">
        <v>2.8000000000000114</v>
      </c>
      <c r="R85">
        <v>1.2142857142857508</v>
      </c>
      <c r="S85">
        <v>2.4000000000000057</v>
      </c>
      <c r="T85">
        <v>2.0999999999999943</v>
      </c>
      <c r="U85">
        <v>2.3999999999999773</v>
      </c>
      <c r="V85">
        <v>2.3000000000000114</v>
      </c>
      <c r="W85">
        <v>3.5</v>
      </c>
      <c r="X85">
        <v>0.80000000000001137</v>
      </c>
      <c r="Y85">
        <v>2.2999999999999829</v>
      </c>
      <c r="Z85">
        <v>1.5500000000000114</v>
      </c>
      <c r="AA85">
        <v>3.3999999999999773</v>
      </c>
      <c r="AB85">
        <v>6.5999999999999943</v>
      </c>
      <c r="AC85">
        <v>5</v>
      </c>
      <c r="AD85">
        <v>1.2000000000000171</v>
      </c>
      <c r="AE85">
        <v>1.6999999999999886</v>
      </c>
      <c r="AF85">
        <v>1.4499999999999886</v>
      </c>
      <c r="AG85">
        <v>2.7999999999999829</v>
      </c>
      <c r="AH85">
        <v>2.8999999999999773</v>
      </c>
      <c r="AI85">
        <v>2.5999999999999943</v>
      </c>
      <c r="AJ85">
        <v>2.7666666666666515</v>
      </c>
    </row>
    <row r="103" spans="8:8">
      <c r="H103" t="s">
        <v>179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48F6-40C6-4F57-8E54-060CBFC1FED9}">
  <dimension ref="A1:S33"/>
  <sheetViews>
    <sheetView topLeftCell="A13" workbookViewId="0">
      <selection activeCell="E18" sqref="E18"/>
    </sheetView>
  </sheetViews>
  <sheetFormatPr defaultRowHeight="14.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169</v>
      </c>
      <c r="O1" t="s">
        <v>168</v>
      </c>
      <c r="P1" t="s">
        <v>15</v>
      </c>
      <c r="Q1" t="s">
        <v>16</v>
      </c>
      <c r="R1" t="s">
        <v>166</v>
      </c>
      <c r="S1" t="s">
        <v>182</v>
      </c>
    </row>
    <row r="2" spans="1:19">
      <c r="A2" t="s">
        <v>34</v>
      </c>
      <c r="B2">
        <v>2022</v>
      </c>
      <c r="C2" t="s">
        <v>38</v>
      </c>
      <c r="D2">
        <v>154.1</v>
      </c>
      <c r="E2">
        <v>217</v>
      </c>
      <c r="F2">
        <v>162.4</v>
      </c>
      <c r="G2">
        <v>164.9</v>
      </c>
      <c r="H2">
        <v>202.4</v>
      </c>
      <c r="I2">
        <v>171</v>
      </c>
      <c r="J2">
        <v>174.9</v>
      </c>
      <c r="K2">
        <v>164.7</v>
      </c>
      <c r="L2">
        <v>119.7</v>
      </c>
      <c r="M2">
        <v>184.9</v>
      </c>
      <c r="N2">
        <v>167.1</v>
      </c>
      <c r="O2">
        <v>182.5</v>
      </c>
      <c r="P2">
        <v>173.3</v>
      </c>
      <c r="Q2">
        <v>194.1</v>
      </c>
      <c r="R2">
        <v>173.78571428571431</v>
      </c>
    </row>
    <row r="3" spans="1:19">
      <c r="A3" t="s">
        <v>34</v>
      </c>
      <c r="B3">
        <v>2022</v>
      </c>
      <c r="C3" t="s">
        <v>39</v>
      </c>
      <c r="D3">
        <v>155</v>
      </c>
      <c r="E3">
        <v>219.4</v>
      </c>
      <c r="F3">
        <v>170.8</v>
      </c>
      <c r="G3">
        <v>165.8</v>
      </c>
      <c r="H3">
        <v>200.9</v>
      </c>
      <c r="I3">
        <v>169.7</v>
      </c>
      <c r="J3">
        <v>182.3</v>
      </c>
      <c r="K3">
        <v>164.3</v>
      </c>
      <c r="L3">
        <v>119.9</v>
      </c>
      <c r="M3">
        <v>187.1</v>
      </c>
      <c r="N3">
        <v>167.9</v>
      </c>
      <c r="O3">
        <v>183.9</v>
      </c>
      <c r="P3">
        <v>174.9</v>
      </c>
      <c r="Q3">
        <v>194.3</v>
      </c>
      <c r="R3">
        <v>175.44285714285715</v>
      </c>
      <c r="S3" s="4">
        <f>(R3-R2)/R2</f>
        <v>9.5355528154540958E-3</v>
      </c>
    </row>
    <row r="4" spans="1:19">
      <c r="A4" t="s">
        <v>34</v>
      </c>
      <c r="B4">
        <v>2022</v>
      </c>
      <c r="C4" t="s">
        <v>40</v>
      </c>
      <c r="D4">
        <v>156.5</v>
      </c>
      <c r="E4">
        <v>213</v>
      </c>
      <c r="F4">
        <v>175.2</v>
      </c>
      <c r="G4">
        <v>166.6</v>
      </c>
      <c r="H4">
        <v>195.8</v>
      </c>
      <c r="I4">
        <v>174.2</v>
      </c>
      <c r="J4">
        <v>182.1</v>
      </c>
      <c r="K4">
        <v>164.3</v>
      </c>
      <c r="L4">
        <v>120</v>
      </c>
      <c r="M4">
        <v>190</v>
      </c>
      <c r="N4">
        <v>168.4</v>
      </c>
      <c r="O4">
        <v>185.2</v>
      </c>
      <c r="P4">
        <v>175</v>
      </c>
      <c r="Q4">
        <v>194.6</v>
      </c>
      <c r="R4">
        <v>175.77857142857144</v>
      </c>
      <c r="S4" s="4">
        <f t="shared" ref="S4:S14" si="0">(R4-R3)/R3</f>
        <v>1.9135249572510566E-3</v>
      </c>
    </row>
    <row r="5" spans="1:19">
      <c r="A5" t="s">
        <v>34</v>
      </c>
      <c r="B5">
        <v>2022</v>
      </c>
      <c r="C5" t="s">
        <v>41</v>
      </c>
      <c r="D5">
        <v>160.30000000000001</v>
      </c>
      <c r="E5">
        <v>206.5</v>
      </c>
      <c r="F5">
        <v>169.2</v>
      </c>
      <c r="G5">
        <v>168.1</v>
      </c>
      <c r="H5">
        <v>192.4</v>
      </c>
      <c r="I5">
        <v>172.9</v>
      </c>
      <c r="J5">
        <v>186.7</v>
      </c>
      <c r="K5">
        <v>167.2</v>
      </c>
      <c r="L5">
        <v>120.9</v>
      </c>
      <c r="M5">
        <v>193.6</v>
      </c>
      <c r="N5">
        <v>168.8</v>
      </c>
      <c r="O5">
        <v>186.3</v>
      </c>
      <c r="P5">
        <v>176.3</v>
      </c>
      <c r="Q5">
        <v>195</v>
      </c>
      <c r="R5">
        <v>176.01428571428573</v>
      </c>
      <c r="S5" s="4">
        <f t="shared" si="0"/>
        <v>1.3409728148238956E-3</v>
      </c>
    </row>
    <row r="6" spans="1:19">
      <c r="A6" t="s">
        <v>34</v>
      </c>
      <c r="B6">
        <v>2022</v>
      </c>
      <c r="C6" t="s">
        <v>42</v>
      </c>
      <c r="D6">
        <v>163.5</v>
      </c>
      <c r="E6">
        <v>209.2</v>
      </c>
      <c r="F6">
        <v>169.7</v>
      </c>
      <c r="G6">
        <v>169.7</v>
      </c>
      <c r="H6">
        <v>188.7</v>
      </c>
      <c r="I6">
        <v>165.7</v>
      </c>
      <c r="J6">
        <v>191.8</v>
      </c>
      <c r="K6">
        <v>169.1</v>
      </c>
      <c r="L6">
        <v>121.6</v>
      </c>
      <c r="M6">
        <v>197.3</v>
      </c>
      <c r="N6">
        <v>169.4</v>
      </c>
      <c r="O6">
        <v>187.4</v>
      </c>
      <c r="P6">
        <v>177.8</v>
      </c>
      <c r="Q6">
        <v>195.9</v>
      </c>
      <c r="R6">
        <v>176.91428571428574</v>
      </c>
      <c r="S6" s="4">
        <f t="shared" si="0"/>
        <v>5.1132213294375773E-3</v>
      </c>
    </row>
    <row r="7" spans="1:19">
      <c r="A7" t="s">
        <v>34</v>
      </c>
      <c r="B7">
        <v>2022</v>
      </c>
      <c r="C7" t="s">
        <v>43</v>
      </c>
      <c r="D7">
        <v>165.2</v>
      </c>
      <c r="E7">
        <v>210.9</v>
      </c>
      <c r="F7">
        <v>170.9</v>
      </c>
      <c r="G7">
        <v>170.9</v>
      </c>
      <c r="H7">
        <v>186.5</v>
      </c>
      <c r="I7">
        <v>163.80000000000001</v>
      </c>
      <c r="J7">
        <v>199.7</v>
      </c>
      <c r="K7">
        <v>169.8</v>
      </c>
      <c r="L7">
        <v>121.9</v>
      </c>
      <c r="M7">
        <v>199.9</v>
      </c>
      <c r="N7">
        <v>169.9</v>
      </c>
      <c r="O7">
        <v>188.3</v>
      </c>
      <c r="P7">
        <v>179.6</v>
      </c>
      <c r="Q7">
        <v>196.3</v>
      </c>
      <c r="R7">
        <v>178.11428571428573</v>
      </c>
      <c r="S7" s="4">
        <f t="shared" si="0"/>
        <v>6.7829457364340434E-3</v>
      </c>
    </row>
    <row r="8" spans="1:19">
      <c r="A8" t="s">
        <v>34</v>
      </c>
      <c r="B8">
        <v>2022</v>
      </c>
      <c r="C8" t="s">
        <v>45</v>
      </c>
      <c r="D8">
        <v>167.4</v>
      </c>
      <c r="E8">
        <v>209.4</v>
      </c>
      <c r="F8">
        <v>181.4</v>
      </c>
      <c r="G8">
        <v>172.3</v>
      </c>
      <c r="H8">
        <v>188.9</v>
      </c>
      <c r="I8">
        <v>160.69999999999999</v>
      </c>
      <c r="J8">
        <v>183.1</v>
      </c>
      <c r="K8">
        <v>170.5</v>
      </c>
      <c r="L8">
        <v>122.1</v>
      </c>
      <c r="M8">
        <v>202.8</v>
      </c>
      <c r="N8">
        <v>170.4</v>
      </c>
      <c r="O8">
        <v>189.5</v>
      </c>
      <c r="P8">
        <v>178.3</v>
      </c>
      <c r="Q8">
        <v>196.9</v>
      </c>
      <c r="R8">
        <v>178.12142857142859</v>
      </c>
      <c r="S8" s="4">
        <f t="shared" si="0"/>
        <v>4.0102662816865741E-5</v>
      </c>
    </row>
    <row r="9" spans="1:19">
      <c r="A9" t="s">
        <v>34</v>
      </c>
      <c r="B9">
        <v>2022</v>
      </c>
      <c r="C9" t="s">
        <v>46</v>
      </c>
      <c r="D9">
        <v>169.2</v>
      </c>
      <c r="E9">
        <v>209</v>
      </c>
      <c r="F9">
        <v>190.2</v>
      </c>
      <c r="G9">
        <v>173.6</v>
      </c>
      <c r="H9">
        <v>188.5</v>
      </c>
      <c r="I9">
        <v>158</v>
      </c>
      <c r="J9">
        <v>159.9</v>
      </c>
      <c r="K9">
        <v>170.8</v>
      </c>
      <c r="L9">
        <v>121.8</v>
      </c>
      <c r="M9">
        <v>205.2</v>
      </c>
      <c r="N9">
        <v>171</v>
      </c>
      <c r="O9">
        <v>190.3</v>
      </c>
      <c r="P9">
        <v>175.9</v>
      </c>
      <c r="Q9">
        <v>197.3</v>
      </c>
      <c r="R9">
        <v>177.19285714285715</v>
      </c>
      <c r="S9" s="4">
        <f t="shared" si="0"/>
        <v>-5.2131371055059656E-3</v>
      </c>
    </row>
    <row r="10" spans="1:19">
      <c r="A10" t="s">
        <v>34</v>
      </c>
      <c r="B10">
        <v>2023</v>
      </c>
      <c r="C10" t="s">
        <v>31</v>
      </c>
      <c r="D10">
        <v>173.8</v>
      </c>
      <c r="E10">
        <v>210.7</v>
      </c>
      <c r="F10">
        <v>194.5</v>
      </c>
      <c r="G10">
        <v>174.6</v>
      </c>
      <c r="H10">
        <v>187.2</v>
      </c>
      <c r="I10">
        <v>158.30000000000001</v>
      </c>
      <c r="J10">
        <v>153.9</v>
      </c>
      <c r="K10">
        <v>170.9</v>
      </c>
      <c r="L10">
        <v>121.1</v>
      </c>
      <c r="M10">
        <v>208.4</v>
      </c>
      <c r="N10">
        <v>171.4</v>
      </c>
      <c r="O10">
        <v>191.2</v>
      </c>
      <c r="P10">
        <v>176.7</v>
      </c>
      <c r="Q10">
        <v>198.2</v>
      </c>
      <c r="R10">
        <v>177.92142857142855</v>
      </c>
      <c r="S10" s="4">
        <f t="shared" si="0"/>
        <v>4.1117426532831826E-3</v>
      </c>
    </row>
    <row r="11" spans="1:19">
      <c r="A11" t="s">
        <v>34</v>
      </c>
      <c r="B11">
        <v>2023</v>
      </c>
      <c r="C11" t="s">
        <v>35</v>
      </c>
      <c r="D11">
        <v>174.4</v>
      </c>
      <c r="E11">
        <v>207.7</v>
      </c>
      <c r="F11">
        <v>175.2</v>
      </c>
      <c r="G11">
        <v>177.3</v>
      </c>
      <c r="H11">
        <v>179.3</v>
      </c>
      <c r="I11">
        <v>169.5</v>
      </c>
      <c r="J11">
        <v>152.69999999999999</v>
      </c>
      <c r="K11">
        <v>171</v>
      </c>
      <c r="L11">
        <v>120</v>
      </c>
      <c r="M11">
        <v>209.7</v>
      </c>
      <c r="N11">
        <v>172.3</v>
      </c>
      <c r="O11">
        <v>193</v>
      </c>
      <c r="P11">
        <v>177</v>
      </c>
      <c r="Q11">
        <v>199.5</v>
      </c>
      <c r="R11">
        <v>177.04285714285714</v>
      </c>
      <c r="S11" s="4">
        <f t="shared" si="0"/>
        <v>-4.9379742261831758E-3</v>
      </c>
    </row>
    <row r="12" spans="1:19">
      <c r="A12" t="s">
        <v>34</v>
      </c>
      <c r="B12">
        <v>2023</v>
      </c>
      <c r="C12" t="s">
        <v>36</v>
      </c>
      <c r="D12">
        <v>174.4</v>
      </c>
      <c r="E12">
        <v>207.7</v>
      </c>
      <c r="F12">
        <v>175.2</v>
      </c>
      <c r="G12">
        <v>177.3</v>
      </c>
      <c r="H12">
        <v>179.2</v>
      </c>
      <c r="I12">
        <v>169.5</v>
      </c>
      <c r="J12">
        <v>152.80000000000001</v>
      </c>
      <c r="K12">
        <v>171.1</v>
      </c>
      <c r="L12">
        <v>120</v>
      </c>
      <c r="M12">
        <v>209.7</v>
      </c>
      <c r="N12">
        <v>172.3</v>
      </c>
      <c r="O12">
        <v>193</v>
      </c>
      <c r="P12">
        <v>177</v>
      </c>
      <c r="Q12">
        <v>199.5</v>
      </c>
      <c r="R12">
        <v>177.04999999999998</v>
      </c>
      <c r="S12" s="4">
        <f t="shared" si="0"/>
        <v>4.0345356249390191E-5</v>
      </c>
    </row>
    <row r="13" spans="1:19">
      <c r="A13" t="s">
        <v>34</v>
      </c>
      <c r="B13">
        <v>2023</v>
      </c>
      <c r="C13" t="s">
        <v>37</v>
      </c>
      <c r="D13">
        <v>173.8</v>
      </c>
      <c r="E13">
        <v>209.3</v>
      </c>
      <c r="F13">
        <v>169.6</v>
      </c>
      <c r="G13">
        <v>178.4</v>
      </c>
      <c r="H13">
        <v>174.9</v>
      </c>
      <c r="I13">
        <v>176.3</v>
      </c>
      <c r="J13">
        <v>155.4</v>
      </c>
      <c r="K13">
        <v>173.4</v>
      </c>
      <c r="L13">
        <v>121.3</v>
      </c>
      <c r="M13">
        <v>212.9</v>
      </c>
      <c r="N13">
        <v>172.9</v>
      </c>
      <c r="O13">
        <v>193.5</v>
      </c>
      <c r="P13">
        <v>177.9</v>
      </c>
      <c r="Q13">
        <v>200.6</v>
      </c>
      <c r="R13">
        <v>177.87142857142859</v>
      </c>
      <c r="S13" s="4">
        <f t="shared" si="0"/>
        <v>4.6395287852505629E-3</v>
      </c>
    </row>
    <row r="14" spans="1:19">
      <c r="A14" t="s">
        <v>34</v>
      </c>
      <c r="B14">
        <v>2023</v>
      </c>
      <c r="C14" t="s">
        <v>38</v>
      </c>
      <c r="D14">
        <v>173.7</v>
      </c>
      <c r="E14">
        <v>214.3</v>
      </c>
      <c r="F14">
        <v>173.2</v>
      </c>
      <c r="G14">
        <v>179.5</v>
      </c>
      <c r="H14">
        <v>170</v>
      </c>
      <c r="I14">
        <v>172.2</v>
      </c>
      <c r="J14">
        <v>161</v>
      </c>
      <c r="K14">
        <v>175.6</v>
      </c>
      <c r="L14">
        <v>122.7</v>
      </c>
      <c r="M14">
        <v>218</v>
      </c>
      <c r="N14">
        <v>173.4</v>
      </c>
      <c r="O14">
        <v>194.2</v>
      </c>
      <c r="P14">
        <v>179.1</v>
      </c>
      <c r="Q14">
        <v>201</v>
      </c>
      <c r="R14">
        <v>179.1357142857143</v>
      </c>
      <c r="S14" s="4">
        <f t="shared" si="0"/>
        <v>7.1078628222632206E-3</v>
      </c>
    </row>
    <row r="32" spans="6:6">
      <c r="F32" t="s">
        <v>184</v>
      </c>
    </row>
    <row r="33" spans="8:8">
      <c r="H33" t="s">
        <v>185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4968-989E-4074-8EA4-C4AD26BCA765}">
  <dimension ref="A1:Q16"/>
  <sheetViews>
    <sheetView topLeftCell="A10" workbookViewId="0">
      <selection activeCell="G34" sqref="G34"/>
    </sheetView>
  </sheetViews>
  <sheetFormatPr defaultRowHeight="14.4"/>
  <cols>
    <col min="17" max="17" width="24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169</v>
      </c>
      <c r="O1" t="s">
        <v>168</v>
      </c>
      <c r="P1" t="s">
        <v>15</v>
      </c>
      <c r="Q1" t="s">
        <v>16</v>
      </c>
    </row>
    <row r="2" spans="1:17">
      <c r="A2" t="s">
        <v>34</v>
      </c>
      <c r="B2">
        <v>2022</v>
      </c>
      <c r="C2" t="s">
        <v>39</v>
      </c>
      <c r="D2" s="4">
        <f>('Solution 3'!D3-'Solution 3'!D2)/'Solution 3'!D2</f>
        <v>5.8403634003893947E-3</v>
      </c>
      <c r="E2" s="4">
        <f>('Solution 3'!E3-'Solution 3'!E2)/'Solution 3'!E2</f>
        <v>1.1059907834101408E-2</v>
      </c>
      <c r="F2" s="4">
        <f>('Solution 3'!F3-'Solution 3'!F2)/'Solution 3'!F2</f>
        <v>5.1724137931034517E-2</v>
      </c>
      <c r="G2" s="4">
        <f>('Solution 3'!G3-'Solution 3'!G2)/'Solution 3'!G2</f>
        <v>5.4578532443905741E-3</v>
      </c>
      <c r="H2" s="4">
        <f>('Solution 3'!H3-'Solution 3'!H2)/'Solution 3'!H2</f>
        <v>-7.411067193675889E-3</v>
      </c>
      <c r="I2" s="4">
        <f>('Solution 3'!I3-'Solution 3'!I2)/'Solution 3'!I2</f>
        <v>-7.6023391812866164E-3</v>
      </c>
      <c r="J2" s="4">
        <f>('Solution 3'!J3-'Solution 3'!J2)/'Solution 3'!J2</f>
        <v>4.230989136649517E-2</v>
      </c>
      <c r="K2" s="4">
        <f>('Solution 3'!K3-'Solution 3'!K2)/'Solution 3'!K2</f>
        <v>-2.4286581663629466E-3</v>
      </c>
      <c r="L2" s="4">
        <f>('Solution 3'!L3-'Solution 3'!L2)/'Solution 3'!L2</f>
        <v>1.6708437761069578E-3</v>
      </c>
      <c r="M2" s="4">
        <f>('Solution 3'!M3-'Solution 3'!M2)/'Solution 3'!M2</f>
        <v>1.1898323418063756E-2</v>
      </c>
      <c r="N2" s="4">
        <f>('Solution 3'!N3-'Solution 3'!N2)/'Solution 3'!N2</f>
        <v>4.7875523638540481E-3</v>
      </c>
      <c r="O2" s="4">
        <f>('Solution 3'!O3-'Solution 3'!O2)/'Solution 3'!O2</f>
        <v>7.6712328767123599E-3</v>
      </c>
      <c r="P2" s="4">
        <f>('Solution 3'!P3-'Solution 3'!P2)/'Solution 3'!P2</f>
        <v>9.2325447201384546E-3</v>
      </c>
      <c r="Q2" s="4">
        <f>('Solution 3'!Q3-'Solution 3'!Q2)/'Solution 3'!Q2</f>
        <v>1.0303967027306391E-3</v>
      </c>
    </row>
    <row r="3" spans="1:17">
      <c r="A3" t="s">
        <v>34</v>
      </c>
      <c r="B3">
        <v>2022</v>
      </c>
      <c r="C3" t="s">
        <v>40</v>
      </c>
      <c r="D3" s="4">
        <f>('Solution 3'!D4-'Solution 3'!D3)/'Solution 3'!D3</f>
        <v>9.6774193548387101E-3</v>
      </c>
      <c r="E3" s="4">
        <f>('Solution 3'!E4-'Solution 3'!E3)/'Solution 3'!E3</f>
        <v>-2.9170464904284436E-2</v>
      </c>
      <c r="F3" s="4">
        <f>('Solution 3'!F4-'Solution 3'!F3)/'Solution 3'!F3</f>
        <v>2.5761124121779725E-2</v>
      </c>
      <c r="G3" s="4">
        <f>('Solution 3'!G4-'Solution 3'!G3)/'Solution 3'!G3</f>
        <v>4.8250904704462173E-3</v>
      </c>
      <c r="H3" s="4">
        <f>('Solution 3'!H4-'Solution 3'!H3)/'Solution 3'!H3</f>
        <v>-2.5385764061722219E-2</v>
      </c>
      <c r="I3" s="4">
        <f>('Solution 3'!I4-'Solution 3'!I3)/'Solution 3'!I3</f>
        <v>2.6517383618149679E-2</v>
      </c>
      <c r="J3" s="4">
        <f>('Solution 3'!J4-'Solution 3'!J3)/'Solution 3'!J3</f>
        <v>-1.0970927043336097E-3</v>
      </c>
      <c r="K3" s="4">
        <f>('Solution 3'!K4-'Solution 3'!K3)/'Solution 3'!K3</f>
        <v>0</v>
      </c>
      <c r="L3" s="4">
        <f>('Solution 3'!L4-'Solution 3'!L3)/'Solution 3'!L3</f>
        <v>8.3402835696408937E-4</v>
      </c>
      <c r="M3" s="4">
        <f>('Solution 3'!M4-'Solution 3'!M3)/'Solution 3'!M3</f>
        <v>1.5499732763228252E-2</v>
      </c>
      <c r="N3" s="4">
        <f>('Solution 3'!N4-'Solution 3'!N3)/'Solution 3'!N3</f>
        <v>2.9779630732578916E-3</v>
      </c>
      <c r="O3" s="4">
        <f>('Solution 3'!O4-'Solution 3'!O3)/'Solution 3'!O3</f>
        <v>7.0690592713430287E-3</v>
      </c>
      <c r="P3" s="4">
        <f>('Solution 3'!P4-'Solution 3'!P3)/'Solution 3'!P3</f>
        <v>5.7175528873638828E-4</v>
      </c>
      <c r="Q3" s="4">
        <f>('Solution 3'!Q4-'Solution 3'!Q3)/'Solution 3'!Q3</f>
        <v>1.5440041173442251E-3</v>
      </c>
    </row>
    <row r="4" spans="1:17">
      <c r="A4" t="s">
        <v>34</v>
      </c>
      <c r="B4">
        <v>2022</v>
      </c>
      <c r="C4" t="s">
        <v>41</v>
      </c>
      <c r="D4" s="4">
        <f>('Solution 3'!D5-'Solution 3'!D4)/'Solution 3'!D4</f>
        <v>2.4281150159744483E-2</v>
      </c>
      <c r="E4" s="4">
        <f>('Solution 3'!E5-'Solution 3'!E4)/'Solution 3'!E4</f>
        <v>-3.0516431924882629E-2</v>
      </c>
      <c r="F4" s="4">
        <f>('Solution 3'!F5-'Solution 3'!F4)/'Solution 3'!F4</f>
        <v>-3.4246575342465758E-2</v>
      </c>
      <c r="G4" s="4">
        <f>('Solution 3'!G5-'Solution 3'!G4)/'Solution 3'!G4</f>
        <v>9.00360144057623E-3</v>
      </c>
      <c r="H4" s="4">
        <f>('Solution 3'!H5-'Solution 3'!H4)/'Solution 3'!H4</f>
        <v>-1.7364657814096043E-2</v>
      </c>
      <c r="I4" s="4">
        <f>('Solution 3'!I5-'Solution 3'!I4)/'Solution 3'!I4</f>
        <v>-7.4626865671640818E-3</v>
      </c>
      <c r="J4" s="4">
        <f>('Solution 3'!J5-'Solution 3'!J4)/'Solution 3'!J4</f>
        <v>2.5260845689181737E-2</v>
      </c>
      <c r="K4" s="4">
        <f>('Solution 3'!K5-'Solution 3'!K4)/'Solution 3'!K4</f>
        <v>1.7650639074862917E-2</v>
      </c>
      <c r="L4" s="4">
        <f>('Solution 3'!L5-'Solution 3'!L4)/'Solution 3'!L4</f>
        <v>7.5000000000000474E-3</v>
      </c>
      <c r="M4" s="4">
        <f>('Solution 3'!M5-'Solution 3'!M4)/'Solution 3'!M4</f>
        <v>1.8947368421052602E-2</v>
      </c>
      <c r="N4" s="4">
        <f>('Solution 3'!N5-'Solution 3'!N4)/'Solution 3'!N4</f>
        <v>2.3752969121140478E-3</v>
      </c>
      <c r="O4" s="4">
        <f>('Solution 3'!O5-'Solution 3'!O4)/'Solution 3'!O4</f>
        <v>5.9395248380130824E-3</v>
      </c>
      <c r="P4" s="4">
        <f>('Solution 3'!P5-'Solution 3'!P4)/'Solution 3'!P4</f>
        <v>7.4285714285714935E-3</v>
      </c>
      <c r="Q4" s="4">
        <f>('Solution 3'!Q5-'Solution 3'!Q4)/'Solution 3'!Q4</f>
        <v>2.0554984583761853E-3</v>
      </c>
    </row>
    <row r="5" spans="1:17">
      <c r="A5" t="s">
        <v>34</v>
      </c>
      <c r="B5">
        <v>2022</v>
      </c>
      <c r="C5" t="s">
        <v>42</v>
      </c>
      <c r="D5" s="4">
        <f>('Solution 3'!D6-'Solution 3'!D5)/'Solution 3'!D5</f>
        <v>1.9962570180910719E-2</v>
      </c>
      <c r="E5" s="4">
        <f>('Solution 3'!E6-'Solution 3'!E5)/'Solution 3'!E5</f>
        <v>1.3075060532687597E-2</v>
      </c>
      <c r="F5" s="4">
        <f>('Solution 3'!F6-'Solution 3'!F5)/'Solution 3'!F5</f>
        <v>2.9550827423167852E-3</v>
      </c>
      <c r="G5" s="4">
        <f>('Solution 3'!G6-'Solution 3'!G5)/'Solution 3'!G5</f>
        <v>9.5181439619273899E-3</v>
      </c>
      <c r="H5" s="4">
        <f>('Solution 3'!H6-'Solution 3'!H5)/'Solution 3'!H5</f>
        <v>-1.9230769230769319E-2</v>
      </c>
      <c r="I5" s="4">
        <f>('Solution 3'!I6-'Solution 3'!I5)/'Solution 3'!I5</f>
        <v>-4.1642567958357531E-2</v>
      </c>
      <c r="J5" s="4">
        <f>('Solution 3'!J6-'Solution 3'!J5)/'Solution 3'!J5</f>
        <v>2.7316550615961558E-2</v>
      </c>
      <c r="K5" s="4">
        <f>('Solution 3'!K6-'Solution 3'!K5)/'Solution 3'!K5</f>
        <v>1.1363636363636399E-2</v>
      </c>
      <c r="L5" s="4">
        <f>('Solution 3'!L6-'Solution 3'!L5)/'Solution 3'!L5</f>
        <v>5.7899090157153728E-3</v>
      </c>
      <c r="M5" s="4">
        <f>('Solution 3'!M6-'Solution 3'!M5)/'Solution 3'!M5</f>
        <v>1.9111570247933973E-2</v>
      </c>
      <c r="N5" s="4">
        <f>('Solution 3'!N6-'Solution 3'!N5)/'Solution 3'!N5</f>
        <v>3.5545023696682125E-3</v>
      </c>
      <c r="O5" s="4">
        <f>('Solution 3'!O6-'Solution 3'!O5)/'Solution 3'!O5</f>
        <v>5.9044551798174676E-3</v>
      </c>
      <c r="P5" s="4">
        <f>('Solution 3'!P6-'Solution 3'!P5)/'Solution 3'!P5</f>
        <v>8.5082246171298923E-3</v>
      </c>
      <c r="Q5" s="4">
        <f>('Solution 3'!Q6-'Solution 3'!Q5)/'Solution 3'!Q5</f>
        <v>4.6153846153846444E-3</v>
      </c>
    </row>
    <row r="6" spans="1:17">
      <c r="A6" t="s">
        <v>34</v>
      </c>
      <c r="B6">
        <v>2022</v>
      </c>
      <c r="C6" t="s">
        <v>43</v>
      </c>
      <c r="D6" s="4">
        <f>('Solution 3'!D7-'Solution 3'!D6)/'Solution 3'!D6</f>
        <v>1.0397553516819502E-2</v>
      </c>
      <c r="E6" s="4">
        <f>('Solution 3'!E7-'Solution 3'!E6)/'Solution 3'!E6</f>
        <v>8.1261950286807706E-3</v>
      </c>
      <c r="F6" s="4">
        <f>('Solution 3'!F7-'Solution 3'!F6)/'Solution 3'!F6</f>
        <v>7.0713022981733478E-3</v>
      </c>
      <c r="G6" s="4">
        <f>('Solution 3'!G7-'Solution 3'!G6)/'Solution 3'!G6</f>
        <v>7.0713022981733478E-3</v>
      </c>
      <c r="H6" s="4">
        <f>('Solution 3'!H7-'Solution 3'!H6)/'Solution 3'!H6</f>
        <v>-1.1658717541070422E-2</v>
      </c>
      <c r="I6" s="4">
        <f>('Solution 3'!I7-'Solution 3'!I6)/'Solution 3'!I6</f>
        <v>-1.1466505733252729E-2</v>
      </c>
      <c r="J6" s="4">
        <f>('Solution 3'!J7-'Solution 3'!J6)/'Solution 3'!J6</f>
        <v>4.118873826903012E-2</v>
      </c>
      <c r="K6" s="4">
        <f>('Solution 3'!K7-'Solution 3'!K6)/'Solution 3'!K6</f>
        <v>4.1395623891189656E-3</v>
      </c>
      <c r="L6" s="4">
        <f>('Solution 3'!L7-'Solution 3'!L6)/'Solution 3'!L6</f>
        <v>2.4671052631579883E-3</v>
      </c>
      <c r="M6" s="4">
        <f>('Solution 3'!M7-'Solution 3'!M6)/'Solution 3'!M6</f>
        <v>1.3177901672579798E-2</v>
      </c>
      <c r="N6" s="4">
        <f>('Solution 3'!N7-'Solution 3'!N6)/'Solution 3'!N6</f>
        <v>2.9515938606847697E-3</v>
      </c>
      <c r="O6" s="4">
        <f>('Solution 3'!O7-'Solution 3'!O6)/'Solution 3'!O6</f>
        <v>4.8025613660619302E-3</v>
      </c>
      <c r="P6" s="4">
        <f>('Solution 3'!P7-'Solution 3'!P6)/'Solution 3'!P6</f>
        <v>1.0123734533183255E-2</v>
      </c>
      <c r="Q6" s="4">
        <f>('Solution 3'!Q7-'Solution 3'!Q6)/'Solution 3'!Q6</f>
        <v>2.0418580908627142E-3</v>
      </c>
    </row>
    <row r="7" spans="1:17">
      <c r="A7" t="s">
        <v>34</v>
      </c>
      <c r="B7">
        <v>2022</v>
      </c>
      <c r="C7" t="s">
        <v>45</v>
      </c>
      <c r="D7" s="4">
        <f>('Solution 3'!D8-'Solution 3'!D7)/'Solution 3'!D7</f>
        <v>1.3317191283293082E-2</v>
      </c>
      <c r="E7" s="4">
        <f>('Solution 3'!E8-'Solution 3'!E7)/'Solution 3'!E7</f>
        <v>-7.1123755334281651E-3</v>
      </c>
      <c r="F7" s="4">
        <f>('Solution 3'!F8-'Solution 3'!F7)/'Solution 3'!F7</f>
        <v>6.1439438267992974E-2</v>
      </c>
      <c r="G7" s="4">
        <f>('Solution 3'!G8-'Solution 3'!G7)/'Solution 3'!G7</f>
        <v>8.1919251023990971E-3</v>
      </c>
      <c r="H7" s="4">
        <f>('Solution 3'!H8-'Solution 3'!H7)/'Solution 3'!H7</f>
        <v>1.286863270777483E-2</v>
      </c>
      <c r="I7" s="4">
        <f>('Solution 3'!I8-'Solution 3'!I7)/'Solution 3'!I7</f>
        <v>-1.8925518925519063E-2</v>
      </c>
      <c r="J7" s="4">
        <f>('Solution 3'!J8-'Solution 3'!J7)/'Solution 3'!J7</f>
        <v>-8.3124687030545791E-2</v>
      </c>
      <c r="K7" s="4">
        <f>('Solution 3'!K8-'Solution 3'!K7)/'Solution 3'!K7</f>
        <v>4.1224970553591792E-3</v>
      </c>
      <c r="L7" s="4">
        <f>('Solution 3'!L8-'Solution 3'!L7)/'Solution 3'!L7</f>
        <v>1.640689089417462E-3</v>
      </c>
      <c r="M7" s="4">
        <f>('Solution 3'!M8-'Solution 3'!M7)/'Solution 3'!M7</f>
        <v>1.4507253626813434E-2</v>
      </c>
      <c r="N7" s="4">
        <f>('Solution 3'!N8-'Solution 3'!N7)/'Solution 3'!N7</f>
        <v>2.942907592701589E-3</v>
      </c>
      <c r="O7" s="4">
        <f>('Solution 3'!O8-'Solution 3'!O7)/'Solution 3'!O7</f>
        <v>6.3728093467869812E-3</v>
      </c>
      <c r="P7" s="4">
        <f>('Solution 3'!P8-'Solution 3'!P7)/'Solution 3'!P7</f>
        <v>-7.2383073496658295E-3</v>
      </c>
      <c r="Q7" s="4">
        <f>('Solution 3'!Q8-'Solution 3'!Q7)/'Solution 3'!Q7</f>
        <v>3.0565461029036897E-3</v>
      </c>
    </row>
    <row r="8" spans="1:17">
      <c r="A8" t="s">
        <v>34</v>
      </c>
      <c r="B8">
        <v>2022</v>
      </c>
      <c r="C8" t="s">
        <v>46</v>
      </c>
      <c r="D8" s="4">
        <f>('Solution 3'!D9-'Solution 3'!D8)/'Solution 3'!D8</f>
        <v>1.0752688172042909E-2</v>
      </c>
      <c r="E8" s="4">
        <f>('Solution 3'!E9-'Solution 3'!E8)/'Solution 3'!E8</f>
        <v>-1.9102196752626823E-3</v>
      </c>
      <c r="F8" s="4">
        <f>('Solution 3'!F9-'Solution 3'!F8)/'Solution 3'!F8</f>
        <v>4.8511576626240255E-2</v>
      </c>
      <c r="G8" s="4">
        <f>('Solution 3'!G9-'Solution 3'!G8)/'Solution 3'!G8</f>
        <v>7.5449796865930518E-3</v>
      </c>
      <c r="H8" s="4">
        <f>('Solution 3'!H9-'Solution 3'!H8)/'Solution 3'!H8</f>
        <v>-2.1175224986765785E-3</v>
      </c>
      <c r="I8" s="4">
        <f>('Solution 3'!I9-'Solution 3'!I8)/'Solution 3'!I8</f>
        <v>-1.6801493466085806E-2</v>
      </c>
      <c r="J8" s="4">
        <f>('Solution 3'!J9-'Solution 3'!J8)/'Solution 3'!J8</f>
        <v>-0.12670671764063349</v>
      </c>
      <c r="K8" s="4">
        <f>('Solution 3'!K9-'Solution 3'!K8)/'Solution 3'!K8</f>
        <v>1.7595307917889231E-3</v>
      </c>
      <c r="L8" s="4">
        <f>('Solution 3'!L9-'Solution 3'!L8)/'Solution 3'!L8</f>
        <v>-2.457002457002434E-3</v>
      </c>
      <c r="M8" s="4">
        <f>('Solution 3'!M9-'Solution 3'!M8)/'Solution 3'!M8</f>
        <v>1.1834319526627106E-2</v>
      </c>
      <c r="N8" s="4">
        <f>('Solution 3'!N9-'Solution 3'!N8)/'Solution 3'!N8</f>
        <v>3.521126760563347E-3</v>
      </c>
      <c r="O8" s="4">
        <f>('Solution 3'!O9-'Solution 3'!O8)/'Solution 3'!O8</f>
        <v>4.2216358839050729E-3</v>
      </c>
      <c r="P8" s="4">
        <f>('Solution 3'!P9-'Solution 3'!P8)/'Solution 3'!P8</f>
        <v>-1.3460459899046581E-2</v>
      </c>
      <c r="Q8" s="4">
        <f>('Solution 3'!Q9-'Solution 3'!Q8)/'Solution 3'!Q8</f>
        <v>2.031488065007647E-3</v>
      </c>
    </row>
    <row r="9" spans="1:17">
      <c r="A9" t="s">
        <v>34</v>
      </c>
      <c r="B9">
        <v>2023</v>
      </c>
      <c r="C9" t="s">
        <v>31</v>
      </c>
      <c r="D9" s="4">
        <f>('Solution 3'!D10-'Solution 3'!D9)/'Solution 3'!D9</f>
        <v>2.7186761229314557E-2</v>
      </c>
      <c r="E9" s="4">
        <f>('Solution 3'!E10-'Solution 3'!E9)/'Solution 3'!E9</f>
        <v>8.1339712918659744E-3</v>
      </c>
      <c r="F9" s="4">
        <f>('Solution 3'!F10-'Solution 3'!F9)/'Solution 3'!F9</f>
        <v>2.2607781282860208E-2</v>
      </c>
      <c r="G9" s="4">
        <f>('Solution 3'!G10-'Solution 3'!G9)/'Solution 3'!G9</f>
        <v>5.7603686635944703E-3</v>
      </c>
      <c r="H9" s="4">
        <f>('Solution 3'!H10-'Solution 3'!H9)/'Solution 3'!H9</f>
        <v>-6.8965517241379917E-3</v>
      </c>
      <c r="I9" s="4">
        <f>('Solution 3'!I10-'Solution 3'!I9)/'Solution 3'!I9</f>
        <v>1.8987341772152618E-3</v>
      </c>
      <c r="J9" s="4">
        <f>('Solution 3'!J10-'Solution 3'!J9)/'Solution 3'!J9</f>
        <v>-3.7523452157598496E-2</v>
      </c>
      <c r="K9" s="4">
        <f>('Solution 3'!K10-'Solution 3'!K9)/'Solution 3'!K9</f>
        <v>5.854800936767817E-4</v>
      </c>
      <c r="L9" s="4">
        <f>('Solution 3'!L10-'Solution 3'!L9)/'Solution 3'!L9</f>
        <v>-5.7471264367816325E-3</v>
      </c>
      <c r="M9" s="4">
        <f>('Solution 3'!M10-'Solution 3'!M9)/'Solution 3'!M9</f>
        <v>1.5594541910331468E-2</v>
      </c>
      <c r="N9" s="4">
        <f>('Solution 3'!N10-'Solution 3'!N9)/'Solution 3'!N9</f>
        <v>2.339181286549741E-3</v>
      </c>
      <c r="O9" s="4">
        <f>('Solution 3'!O10-'Solution 3'!O9)/'Solution 3'!O9</f>
        <v>4.7293746715710832E-3</v>
      </c>
      <c r="P9" s="4">
        <f>('Solution 3'!P10-'Solution 3'!P9)/'Solution 3'!P9</f>
        <v>4.5480386583284984E-3</v>
      </c>
      <c r="Q9" s="4">
        <f>('Solution 3'!Q10-'Solution 3'!Q9)/'Solution 3'!Q9</f>
        <v>4.5615813482005937E-3</v>
      </c>
    </row>
    <row r="10" spans="1:17">
      <c r="A10" t="s">
        <v>34</v>
      </c>
      <c r="B10">
        <v>2023</v>
      </c>
      <c r="C10" t="s">
        <v>35</v>
      </c>
      <c r="D10" s="4">
        <f>('Solution 3'!D11-'Solution 3'!D10)/'Solution 3'!D10</f>
        <v>3.4522439585730398E-3</v>
      </c>
      <c r="E10" s="4">
        <f>('Solution 3'!E11-'Solution 3'!E10)/'Solution 3'!E10</f>
        <v>-1.423825344091125E-2</v>
      </c>
      <c r="F10" s="4">
        <f>('Solution 3'!F11-'Solution 3'!F10)/'Solution 3'!F10</f>
        <v>-9.9228791773778982E-2</v>
      </c>
      <c r="G10" s="4">
        <f>('Solution 3'!G11-'Solution 3'!G10)/'Solution 3'!G10</f>
        <v>1.5463917525773294E-2</v>
      </c>
      <c r="H10" s="4">
        <f>('Solution 3'!H11-'Solution 3'!H10)/'Solution 3'!H10</f>
        <v>-4.2200854700854579E-2</v>
      </c>
      <c r="I10" s="4">
        <f>('Solution 3'!I11-'Solution 3'!I10)/'Solution 3'!I10</f>
        <v>7.0751737207833149E-2</v>
      </c>
      <c r="J10" s="4">
        <f>('Solution 3'!J11-'Solution 3'!J10)/'Solution 3'!J10</f>
        <v>-7.7972709551658026E-3</v>
      </c>
      <c r="K10" s="4">
        <f>('Solution 3'!K11-'Solution 3'!K10)/'Solution 3'!K10</f>
        <v>5.8513750731418557E-4</v>
      </c>
      <c r="L10" s="4">
        <f>('Solution 3'!L11-'Solution 3'!L10)/'Solution 3'!L10</f>
        <v>-9.0834021469859156E-3</v>
      </c>
      <c r="M10" s="4">
        <f>('Solution 3'!M11-'Solution 3'!M10)/'Solution 3'!M10</f>
        <v>6.2380038387715112E-3</v>
      </c>
      <c r="N10" s="4">
        <f>('Solution 3'!N11-'Solution 3'!N10)/'Solution 3'!N10</f>
        <v>5.2508751458576761E-3</v>
      </c>
      <c r="O10" s="4">
        <f>('Solution 3'!O11-'Solution 3'!O10)/'Solution 3'!O10</f>
        <v>9.4142259414226534E-3</v>
      </c>
      <c r="P10" s="4">
        <f>('Solution 3'!P11-'Solution 3'!P10)/'Solution 3'!P10</f>
        <v>1.6977928692700134E-3</v>
      </c>
      <c r="Q10" s="4">
        <f>('Solution 3'!Q11-'Solution 3'!Q10)/'Solution 3'!Q10</f>
        <v>6.5590312815338621E-3</v>
      </c>
    </row>
    <row r="11" spans="1:17">
      <c r="A11" t="s">
        <v>34</v>
      </c>
      <c r="B11">
        <v>2023</v>
      </c>
      <c r="C11" t="s">
        <v>36</v>
      </c>
      <c r="D11" s="4">
        <f>('Solution 3'!D12-'Solution 3'!D11)/'Solution 3'!D11</f>
        <v>0</v>
      </c>
      <c r="E11" s="4">
        <f>('Solution 3'!E12-'Solution 3'!E11)/'Solution 3'!E11</f>
        <v>0</v>
      </c>
      <c r="F11" s="4">
        <f>('Solution 3'!F12-'Solution 3'!F11)/'Solution 3'!F11</f>
        <v>0</v>
      </c>
      <c r="G11" s="4">
        <f>('Solution 3'!G12-'Solution 3'!G11)/'Solution 3'!G11</f>
        <v>0</v>
      </c>
      <c r="H11" s="4">
        <f>('Solution 3'!H12-'Solution 3'!H11)/'Solution 3'!H11</f>
        <v>-5.5772448410497898E-4</v>
      </c>
      <c r="I11" s="4">
        <f>('Solution 3'!I12-'Solution 3'!I11)/'Solution 3'!I11</f>
        <v>0</v>
      </c>
      <c r="J11" s="4">
        <f>('Solution 3'!J12-'Solution 3'!J11)/'Solution 3'!J11</f>
        <v>6.5487884741337755E-4</v>
      </c>
      <c r="K11" s="4">
        <f>('Solution 3'!K12-'Solution 3'!K11)/'Solution 3'!K11</f>
        <v>5.8479532163739363E-4</v>
      </c>
      <c r="L11" s="4">
        <f>('Solution 3'!L12-'Solution 3'!L11)/'Solution 3'!L11</f>
        <v>0</v>
      </c>
      <c r="M11" s="4">
        <f>('Solution 3'!M12-'Solution 3'!M11)/'Solution 3'!M11</f>
        <v>0</v>
      </c>
      <c r="N11" s="4">
        <f>('Solution 3'!N12-'Solution 3'!N11)/'Solution 3'!N11</f>
        <v>0</v>
      </c>
      <c r="O11" s="4">
        <f>('Solution 3'!O12-'Solution 3'!O11)/'Solution 3'!O11</f>
        <v>0</v>
      </c>
      <c r="P11" s="4">
        <f>('Solution 3'!P12-'Solution 3'!P11)/'Solution 3'!P11</f>
        <v>0</v>
      </c>
      <c r="Q11" s="4">
        <f>('Solution 3'!Q12-'Solution 3'!Q11)/'Solution 3'!Q11</f>
        <v>0</v>
      </c>
    </row>
    <row r="12" spans="1:17">
      <c r="A12" t="s">
        <v>34</v>
      </c>
      <c r="B12">
        <v>2023</v>
      </c>
      <c r="C12" t="s">
        <v>37</v>
      </c>
      <c r="D12" s="4">
        <f>('Solution 3'!D13-'Solution 3'!D12)/'Solution 3'!D12</f>
        <v>-3.4403669724770315E-3</v>
      </c>
      <c r="E12" s="4">
        <f>('Solution 3'!E13-'Solution 3'!E12)/'Solution 3'!E12</f>
        <v>7.7034183919115207E-3</v>
      </c>
      <c r="F12" s="4">
        <f>('Solution 3'!F13-'Solution 3'!F12)/'Solution 3'!F12</f>
        <v>-3.1963470319634674E-2</v>
      </c>
      <c r="G12" s="4">
        <f>('Solution 3'!G13-'Solution 3'!G12)/'Solution 3'!G12</f>
        <v>6.2041737168640398E-3</v>
      </c>
      <c r="H12" s="4">
        <f>('Solution 3'!H13-'Solution 3'!H12)/'Solution 3'!H12</f>
        <v>-2.3995535714285622E-2</v>
      </c>
      <c r="I12" s="4">
        <f>('Solution 3'!I13-'Solution 3'!I12)/'Solution 3'!I12</f>
        <v>4.0117994100295054E-2</v>
      </c>
      <c r="J12" s="4">
        <f>('Solution 3'!J13-'Solution 3'!J12)/'Solution 3'!J12</f>
        <v>1.7015706806282685E-2</v>
      </c>
      <c r="K12" s="4">
        <f>('Solution 3'!K13-'Solution 3'!K12)/'Solution 3'!K12</f>
        <v>1.3442431326709593E-2</v>
      </c>
      <c r="L12" s="4">
        <f>('Solution 3'!L13-'Solution 3'!L12)/'Solution 3'!L12</f>
        <v>1.0833333333333309E-2</v>
      </c>
      <c r="M12" s="4">
        <f>('Solution 3'!M13-'Solution 3'!M12)/'Solution 3'!M12</f>
        <v>1.5259895088221351E-2</v>
      </c>
      <c r="N12" s="4">
        <f>('Solution 3'!N13-'Solution 3'!N12)/'Solution 3'!N12</f>
        <v>3.4822983168891135E-3</v>
      </c>
      <c r="O12" s="4">
        <f>('Solution 3'!O13-'Solution 3'!O12)/'Solution 3'!O12</f>
        <v>2.5906735751295338E-3</v>
      </c>
      <c r="P12" s="4">
        <f>('Solution 3'!P13-'Solution 3'!P12)/'Solution 3'!P12</f>
        <v>5.0847457627118961E-3</v>
      </c>
      <c r="Q12" s="4">
        <f>('Solution 3'!Q13-'Solution 3'!Q12)/'Solution 3'!Q12</f>
        <v>5.5137844611528536E-3</v>
      </c>
    </row>
    <row r="13" spans="1:17">
      <c r="A13" t="s">
        <v>34</v>
      </c>
      <c r="B13">
        <v>2023</v>
      </c>
      <c r="C13" t="s">
        <v>38</v>
      </c>
      <c r="D13" s="4">
        <f>('Solution 3'!D14-'Solution 3'!D13)/'Solution 3'!D13</f>
        <v>-5.7537399309564284E-4</v>
      </c>
      <c r="E13" s="4">
        <f>('Solution 3'!E14-'Solution 3'!E13)/'Solution 3'!E13</f>
        <v>2.3889154323936932E-2</v>
      </c>
      <c r="F13" s="4">
        <f>('Solution 3'!F14-'Solution 3'!F13)/'Solution 3'!F13</f>
        <v>2.122641509433959E-2</v>
      </c>
      <c r="G13" s="4">
        <f>('Solution 3'!G14-'Solution 3'!G13)/'Solution 3'!G13</f>
        <v>6.1659192825111791E-3</v>
      </c>
      <c r="H13" s="4">
        <f>('Solution 3'!H14-'Solution 3'!H13)/'Solution 3'!H13</f>
        <v>-2.801600914808465E-2</v>
      </c>
      <c r="I13" s="4">
        <f>('Solution 3'!I14-'Solution 3'!I13)/'Solution 3'!I13</f>
        <v>-2.32558139534885E-2</v>
      </c>
      <c r="J13" s="4">
        <f>('Solution 3'!J14-'Solution 3'!J13)/'Solution 3'!J13</f>
        <v>3.6036036036036001E-2</v>
      </c>
      <c r="K13" s="4">
        <f>('Solution 3'!K14-'Solution 3'!K13)/'Solution 3'!K13</f>
        <v>1.2687427912341341E-2</v>
      </c>
      <c r="L13" s="4">
        <f>('Solution 3'!L14-'Solution 3'!L13)/'Solution 3'!L13</f>
        <v>1.1541632316570533E-2</v>
      </c>
      <c r="M13" s="4">
        <f>('Solution 3'!M14-'Solution 3'!M13)/'Solution 3'!M13</f>
        <v>2.3954908407703118E-2</v>
      </c>
      <c r="N13" s="4">
        <f>('Solution 3'!N14-'Solution 3'!N13)/'Solution 3'!N13</f>
        <v>2.8918449971081549E-3</v>
      </c>
      <c r="O13" s="4">
        <f>('Solution 3'!O14-'Solution 3'!O13)/'Solution 3'!O13</f>
        <v>3.6175710594314658E-3</v>
      </c>
      <c r="P13" s="4">
        <f>('Solution 3'!P14-'Solution 3'!P13)/'Solution 3'!P13</f>
        <v>6.7453625632377095E-3</v>
      </c>
      <c r="Q13" s="4">
        <f>('Solution 3'!Q14-'Solution 3'!Q13)/'Solution 3'!Q13</f>
        <v>1.9940179461615439E-3</v>
      </c>
    </row>
    <row r="14" spans="1:17">
      <c r="D14" s="4">
        <f>SUM(D2:D13)</f>
        <v>0.12085220029035372</v>
      </c>
      <c r="E14" s="4">
        <f t="shared" ref="E14:Q14" si="0">SUM(E2:E13)</f>
        <v>-1.0960038075584964E-2</v>
      </c>
      <c r="F14" s="4">
        <f t="shared" si="0"/>
        <v>7.5858020928857975E-2</v>
      </c>
      <c r="G14" s="4">
        <f t="shared" si="0"/>
        <v>8.5207275393248891E-2</v>
      </c>
      <c r="H14" s="4">
        <f t="shared" si="0"/>
        <v>-0.17196654140370343</v>
      </c>
      <c r="I14" s="4">
        <f t="shared" si="0"/>
        <v>1.212892331833881E-2</v>
      </c>
      <c r="J14" s="4">
        <f t="shared" si="0"/>
        <v>-6.6466572857876549E-2</v>
      </c>
      <c r="K14" s="4">
        <f t="shared" si="0"/>
        <v>6.4492479670082731E-2</v>
      </c>
      <c r="L14" s="4">
        <f t="shared" si="0"/>
        <v>2.4990010110495772E-2</v>
      </c>
      <c r="M14" s="4">
        <f t="shared" si="0"/>
        <v>0.16602381892132637</v>
      </c>
      <c r="N14" s="4">
        <f t="shared" si="0"/>
        <v>3.7075142679248593E-2</v>
      </c>
      <c r="O14" s="4">
        <f t="shared" si="0"/>
        <v>6.2333124010194668E-2</v>
      </c>
      <c r="P14" s="4">
        <f t="shared" si="0"/>
        <v>3.3242003192595196E-2</v>
      </c>
      <c r="Q14" s="4">
        <f t="shared" si="0"/>
        <v>3.5003591189658602E-2</v>
      </c>
    </row>
    <row r="16" spans="1:17">
      <c r="D16" t="s">
        <v>194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B1F3-3261-4571-B80A-8EACCDC4DF4C}">
  <dimension ref="A1:M24"/>
  <sheetViews>
    <sheetView topLeftCell="A7" workbookViewId="0">
      <selection activeCell="J27" sqref="J27"/>
    </sheetView>
  </sheetViews>
  <sheetFormatPr defaultRowHeight="14.4"/>
  <cols>
    <col min="6" max="6" width="17" customWidth="1"/>
    <col min="11" max="11" width="11.109375" customWidth="1"/>
    <col min="12" max="12" width="12.44140625" bestFit="1" customWidth="1"/>
    <col min="13" max="13" width="19.21875" customWidth="1"/>
  </cols>
  <sheetData>
    <row r="1" spans="1:13">
      <c r="A1" t="s">
        <v>0</v>
      </c>
      <c r="B1" t="s">
        <v>1</v>
      </c>
      <c r="C1" t="s">
        <v>2</v>
      </c>
      <c r="D1" t="s">
        <v>166</v>
      </c>
      <c r="E1" t="s">
        <v>172</v>
      </c>
      <c r="F1" t="s">
        <v>183</v>
      </c>
      <c r="I1" t="s">
        <v>188</v>
      </c>
      <c r="J1" t="s">
        <v>1</v>
      </c>
      <c r="K1" t="s">
        <v>190</v>
      </c>
      <c r="L1" t="s">
        <v>191</v>
      </c>
      <c r="M1" t="s">
        <v>192</v>
      </c>
    </row>
    <row r="2" spans="1:13">
      <c r="A2" t="s">
        <v>34</v>
      </c>
      <c r="B2">
        <v>2018</v>
      </c>
      <c r="C2" t="s">
        <v>31</v>
      </c>
      <c r="D2">
        <v>138.18571428571428</v>
      </c>
      <c r="E2">
        <v>130.30000000000001</v>
      </c>
      <c r="F2">
        <v>142.6</v>
      </c>
      <c r="I2" t="s">
        <v>186</v>
      </c>
      <c r="J2">
        <v>2018</v>
      </c>
      <c r="K2" s="4">
        <f>(D3-D2)/D2</f>
        <v>-4.5487439263930882E-3</v>
      </c>
      <c r="L2" s="4">
        <f>(E3-E2)/E2</f>
        <v>6.3315425940138143E-2</v>
      </c>
      <c r="M2" s="4">
        <f>(F3-F2)/F2</f>
        <v>5.5165965404394633E-2</v>
      </c>
    </row>
    <row r="3" spans="1:13">
      <c r="A3" t="s">
        <v>34</v>
      </c>
      <c r="B3">
        <v>2018</v>
      </c>
      <c r="C3" t="s">
        <v>46</v>
      </c>
      <c r="D3">
        <v>137.55714285714285</v>
      </c>
      <c r="E3">
        <v>138.55000000000001</v>
      </c>
      <c r="F3">
        <v>150.46666666666667</v>
      </c>
      <c r="J3">
        <v>2019</v>
      </c>
      <c r="K3" s="4">
        <f t="shared" ref="K3:K6" si="0">(D4-D3)/D3</f>
        <v>-4.7772354346244774E-3</v>
      </c>
      <c r="L3" s="4">
        <f t="shared" ref="L3:L6" si="1">(E4-E3)/E3</f>
        <v>2.8870443883073061E-3</v>
      </c>
      <c r="M3" s="4">
        <f t="shared" ref="M3:M6" si="2">(F4-F3)/F3</f>
        <v>-6.6459902525476296E-3</v>
      </c>
    </row>
    <row r="4" spans="1:13">
      <c r="A4" t="s">
        <v>34</v>
      </c>
      <c r="B4">
        <v>2019</v>
      </c>
      <c r="C4" t="s">
        <v>31</v>
      </c>
      <c r="D4">
        <v>136.9</v>
      </c>
      <c r="E4">
        <v>138.94999999999999</v>
      </c>
      <c r="F4">
        <v>149.46666666666667</v>
      </c>
      <c r="I4" t="s">
        <v>187</v>
      </c>
      <c r="J4">
        <v>2020</v>
      </c>
      <c r="K4" s="4">
        <f t="shared" si="0"/>
        <v>0.10330794114577915</v>
      </c>
      <c r="L4" s="4">
        <f t="shared" si="1"/>
        <v>4.641957538682992E-2</v>
      </c>
      <c r="M4" s="4">
        <f t="shared" si="2"/>
        <v>-3.155664585191794E-2</v>
      </c>
    </row>
    <row r="5" spans="1:13">
      <c r="A5" t="s">
        <v>34</v>
      </c>
      <c r="B5">
        <v>2019</v>
      </c>
      <c r="C5" t="s">
        <v>46</v>
      </c>
      <c r="D5">
        <v>151.04285714285717</v>
      </c>
      <c r="E5">
        <v>145.4</v>
      </c>
      <c r="F5">
        <v>144.75</v>
      </c>
      <c r="J5">
        <v>2021</v>
      </c>
      <c r="K5" s="4">
        <f t="shared" si="0"/>
        <v>-2.3645133831459633E-3</v>
      </c>
      <c r="L5" s="4">
        <f t="shared" si="1"/>
        <v>9.2847317744153661E-3</v>
      </c>
      <c r="M5" s="4">
        <f t="shared" si="2"/>
        <v>4.4905008635577016E-3</v>
      </c>
    </row>
    <row r="6" spans="1:13">
      <c r="A6" t="s">
        <v>34</v>
      </c>
      <c r="B6">
        <v>2020</v>
      </c>
      <c r="C6" t="s">
        <v>31</v>
      </c>
      <c r="D6">
        <v>150.68571428571428</v>
      </c>
      <c r="E6">
        <v>146.75</v>
      </c>
      <c r="F6">
        <v>145.39999999999998</v>
      </c>
      <c r="I6" t="s">
        <v>189</v>
      </c>
      <c r="J6">
        <v>2022</v>
      </c>
      <c r="K6" s="4">
        <f t="shared" si="0"/>
        <v>8.7646947288585506E-2</v>
      </c>
      <c r="L6" s="4">
        <f t="shared" si="1"/>
        <v>7.4616695059625135E-2</v>
      </c>
      <c r="M6" s="4">
        <f t="shared" si="2"/>
        <v>1.2035763411279231E-2</v>
      </c>
    </row>
    <row r="7" spans="1:13">
      <c r="A7" t="s">
        <v>34</v>
      </c>
      <c r="B7">
        <v>2020</v>
      </c>
      <c r="C7" t="s">
        <v>46</v>
      </c>
      <c r="D7">
        <v>163.89285714285714</v>
      </c>
      <c r="E7">
        <v>157.69999999999999</v>
      </c>
      <c r="F7">
        <v>147.14999999999998</v>
      </c>
    </row>
    <row r="8" spans="1:13">
      <c r="A8" t="s">
        <v>34</v>
      </c>
      <c r="B8">
        <v>2021</v>
      </c>
      <c r="C8" t="s">
        <v>31</v>
      </c>
      <c r="D8">
        <v>161.64285714285714</v>
      </c>
      <c r="E8">
        <v>158.05000000000001</v>
      </c>
      <c r="F8">
        <v>148.94999999999999</v>
      </c>
    </row>
    <row r="9" spans="1:13">
      <c r="A9" t="s">
        <v>34</v>
      </c>
      <c r="B9">
        <v>2021</v>
      </c>
      <c r="C9" t="s">
        <v>46</v>
      </c>
      <c r="D9">
        <v>169.52142857142857</v>
      </c>
      <c r="E9">
        <v>166.6</v>
      </c>
      <c r="F9">
        <v>162.14999999999998</v>
      </c>
    </row>
    <row r="10" spans="1:13">
      <c r="A10" t="s">
        <v>34</v>
      </c>
      <c r="B10">
        <v>2022</v>
      </c>
      <c r="C10" t="s">
        <v>31</v>
      </c>
      <c r="D10">
        <v>168.31428571428569</v>
      </c>
      <c r="E10">
        <v>167.2</v>
      </c>
      <c r="F10">
        <v>162.64999999999998</v>
      </c>
    </row>
    <row r="11" spans="1:13">
      <c r="A11" t="s">
        <v>34</v>
      </c>
      <c r="B11">
        <v>2022</v>
      </c>
      <c r="C11" t="s">
        <v>46</v>
      </c>
      <c r="D11">
        <v>177.19285714285715</v>
      </c>
      <c r="E11">
        <v>178.45</v>
      </c>
      <c r="F11">
        <v>177.05</v>
      </c>
    </row>
    <row r="24" spans="7:7">
      <c r="G24" t="s">
        <v>193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42C6-A7E4-4196-9F8C-488936F4F21B}">
  <dimension ref="A1:AF59"/>
  <sheetViews>
    <sheetView zoomScaleNormal="100" workbookViewId="0">
      <selection activeCell="G43" sqref="G43"/>
    </sheetView>
  </sheetViews>
  <sheetFormatPr defaultRowHeight="14.4"/>
  <cols>
    <col min="4" max="4" width="13.88671875" customWidth="1"/>
    <col min="5" max="5" width="25.109375" customWidth="1"/>
    <col min="6" max="6" width="11.88671875" customWidth="1"/>
    <col min="7" max="7" width="24.77734375" customWidth="1"/>
    <col min="8" max="8" width="19.5546875" customWidth="1"/>
    <col min="9" max="9" width="21" customWidth="1"/>
    <col min="10" max="10" width="34.33203125" customWidth="1"/>
    <col min="19" max="19" width="26.6640625" customWidth="1"/>
    <col min="22" max="22" width="19.77734375" customWidth="1"/>
    <col min="25" max="25" width="25.44140625" customWidth="1"/>
    <col min="27" max="27" width="22.5546875" customWidth="1"/>
    <col min="29" max="29" width="26.44140625" customWidth="1"/>
    <col min="32" max="32" width="13.44140625" customWidth="1"/>
  </cols>
  <sheetData>
    <row r="1" spans="1:32">
      <c r="A1" t="s">
        <v>0</v>
      </c>
      <c r="B1" t="s">
        <v>1</v>
      </c>
      <c r="C1" t="s">
        <v>2</v>
      </c>
      <c r="D1" t="s">
        <v>196</v>
      </c>
      <c r="E1" t="s">
        <v>195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169</v>
      </c>
      <c r="Q1" t="s">
        <v>168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27</v>
      </c>
      <c r="AB1" t="s">
        <v>24</v>
      </c>
      <c r="AC1" t="s">
        <v>25</v>
      </c>
      <c r="AD1" t="s">
        <v>26</v>
      </c>
      <c r="AE1" t="s">
        <v>28</v>
      </c>
      <c r="AF1" t="s">
        <v>29</v>
      </c>
    </row>
    <row r="2" spans="1:32">
      <c r="A2" t="s">
        <v>34</v>
      </c>
      <c r="B2">
        <v>2021</v>
      </c>
      <c r="C2" t="s">
        <v>31</v>
      </c>
      <c r="D2" t="str">
        <f>C2&amp;B2</f>
        <v>January2021</v>
      </c>
      <c r="E2" cm="1">
        <f t="array" ref="E2:E30">TRANSPOSE(Sheet4!A1:AC1)</f>
        <v>66695.478654874605</v>
      </c>
      <c r="F2">
        <v>144.9</v>
      </c>
      <c r="G2">
        <v>190.1</v>
      </c>
      <c r="H2" s="4">
        <v>175.3</v>
      </c>
      <c r="I2" s="4">
        <v>154.1</v>
      </c>
      <c r="J2" s="4">
        <v>150.9</v>
      </c>
      <c r="K2">
        <v>149.6</v>
      </c>
      <c r="L2">
        <v>194.2</v>
      </c>
      <c r="M2">
        <v>160.4</v>
      </c>
      <c r="N2">
        <v>114.6</v>
      </c>
      <c r="O2">
        <v>164</v>
      </c>
      <c r="P2">
        <v>151.80000000000001</v>
      </c>
      <c r="Q2">
        <v>165.6</v>
      </c>
      <c r="R2">
        <v>161</v>
      </c>
      <c r="S2">
        <v>186.5</v>
      </c>
      <c r="T2">
        <v>155.5</v>
      </c>
      <c r="U2">
        <v>146.1</v>
      </c>
      <c r="V2">
        <v>154.19999999999999</v>
      </c>
      <c r="W2">
        <v>157.69999999999999</v>
      </c>
      <c r="X2">
        <v>147.9</v>
      </c>
      <c r="Y2">
        <v>150</v>
      </c>
      <c r="Z2">
        <v>159.30000000000001</v>
      </c>
      <c r="AA2">
        <v>156.80000000000001</v>
      </c>
      <c r="AB2">
        <v>141.9</v>
      </c>
      <c r="AC2">
        <v>149.6</v>
      </c>
      <c r="AD2">
        <v>159.19999999999999</v>
      </c>
      <c r="AE2">
        <v>151.9</v>
      </c>
      <c r="AF2">
        <v>157.30000000000001</v>
      </c>
    </row>
    <row r="3" spans="1:32">
      <c r="A3" t="s">
        <v>34</v>
      </c>
      <c r="B3">
        <v>2021</v>
      </c>
      <c r="C3" t="s">
        <v>35</v>
      </c>
      <c r="D3" t="str">
        <f t="shared" ref="D3:D31" si="0">C3&amp;B3</f>
        <v>February2021</v>
      </c>
      <c r="E3">
        <v>60965.591062388899</v>
      </c>
      <c r="F3">
        <v>144.30000000000001</v>
      </c>
      <c r="G3">
        <v>186.5</v>
      </c>
      <c r="H3">
        <v>168.7</v>
      </c>
      <c r="I3">
        <v>154.69999999999999</v>
      </c>
      <c r="J3">
        <v>158.69999999999999</v>
      </c>
      <c r="K3">
        <v>150.69999999999999</v>
      </c>
      <c r="L3">
        <v>160</v>
      </c>
      <c r="M3">
        <v>158.80000000000001</v>
      </c>
      <c r="N3">
        <v>112.8</v>
      </c>
      <c r="O3">
        <v>164.2</v>
      </c>
      <c r="P3">
        <v>155.5</v>
      </c>
      <c r="Q3">
        <v>167.5</v>
      </c>
      <c r="R3">
        <v>156.9</v>
      </c>
      <c r="S3">
        <v>188.3</v>
      </c>
      <c r="T3">
        <v>157.19999999999999</v>
      </c>
      <c r="U3">
        <v>147.4</v>
      </c>
      <c r="V3">
        <v>155.80000000000001</v>
      </c>
      <c r="W3">
        <v>159.80000000000001</v>
      </c>
      <c r="X3">
        <v>152.4</v>
      </c>
      <c r="Y3">
        <v>150.9</v>
      </c>
      <c r="Z3">
        <v>161.30000000000001</v>
      </c>
      <c r="AA3">
        <v>155.80000000000001</v>
      </c>
      <c r="AB3">
        <v>145.1</v>
      </c>
      <c r="AC3">
        <v>151.5</v>
      </c>
      <c r="AD3">
        <v>159.5</v>
      </c>
      <c r="AE3">
        <v>153.4</v>
      </c>
      <c r="AF3">
        <v>156.6</v>
      </c>
    </row>
    <row r="4" spans="1:32">
      <c r="A4" t="s">
        <v>34</v>
      </c>
      <c r="B4">
        <v>2021</v>
      </c>
      <c r="C4" t="s">
        <v>36</v>
      </c>
      <c r="D4" t="str">
        <f t="shared" si="0"/>
        <v>March2021</v>
      </c>
      <c r="E4">
        <v>75470.774130757607</v>
      </c>
      <c r="F4">
        <v>144.1</v>
      </c>
      <c r="G4">
        <v>192.2</v>
      </c>
      <c r="H4" s="4">
        <v>163.80000000000001</v>
      </c>
      <c r="I4" s="4">
        <v>154.9</v>
      </c>
      <c r="J4" s="4">
        <v>163.9</v>
      </c>
      <c r="K4">
        <v>153.69999999999999</v>
      </c>
      <c r="L4">
        <v>149.5</v>
      </c>
      <c r="M4">
        <v>159.80000000000001</v>
      </c>
      <c r="N4">
        <v>112.6</v>
      </c>
      <c r="O4">
        <v>163.5</v>
      </c>
      <c r="P4">
        <v>156.5</v>
      </c>
      <c r="Q4">
        <v>168.2</v>
      </c>
      <c r="R4">
        <v>156.69999999999999</v>
      </c>
      <c r="S4">
        <v>188.1</v>
      </c>
      <c r="T4">
        <v>157.80000000000001</v>
      </c>
      <c r="U4">
        <v>147.9</v>
      </c>
      <c r="V4">
        <v>156.4</v>
      </c>
      <c r="W4">
        <v>161.6</v>
      </c>
      <c r="X4">
        <v>155.5</v>
      </c>
      <c r="Y4">
        <v>151.19999999999999</v>
      </c>
      <c r="Z4">
        <v>161.69999999999999</v>
      </c>
      <c r="AA4">
        <v>153.80000000000001</v>
      </c>
      <c r="AB4">
        <v>146.19999999999999</v>
      </c>
      <c r="AC4">
        <v>152.6</v>
      </c>
      <c r="AD4">
        <v>160.19999999999999</v>
      </c>
      <c r="AE4">
        <v>153.80000000000001</v>
      </c>
      <c r="AF4">
        <v>156.80000000000001</v>
      </c>
    </row>
    <row r="5" spans="1:32">
      <c r="A5" t="s">
        <v>34</v>
      </c>
      <c r="B5">
        <v>2021</v>
      </c>
      <c r="C5" t="s">
        <v>37</v>
      </c>
      <c r="D5" t="str">
        <f t="shared" si="0"/>
        <v>April2021</v>
      </c>
      <c r="E5">
        <v>74207.6451562898</v>
      </c>
      <c r="F5">
        <v>144.30000000000001</v>
      </c>
      <c r="G5">
        <v>198</v>
      </c>
      <c r="H5" s="4">
        <v>164.6</v>
      </c>
      <c r="I5" s="4">
        <v>155.4</v>
      </c>
      <c r="J5" s="4">
        <v>170.1</v>
      </c>
      <c r="K5">
        <v>164.4</v>
      </c>
      <c r="L5">
        <v>144.1</v>
      </c>
      <c r="M5">
        <v>161.69999999999999</v>
      </c>
      <c r="N5">
        <v>113.1</v>
      </c>
      <c r="O5">
        <v>163.9</v>
      </c>
      <c r="P5">
        <v>157.6</v>
      </c>
      <c r="Q5">
        <v>168.9</v>
      </c>
      <c r="R5">
        <v>158</v>
      </c>
      <c r="S5">
        <v>188.8</v>
      </c>
      <c r="T5">
        <v>158.80000000000001</v>
      </c>
      <c r="U5">
        <v>148.5</v>
      </c>
      <c r="V5">
        <v>157.30000000000001</v>
      </c>
      <c r="W5">
        <v>162.1</v>
      </c>
      <c r="X5">
        <v>155.6</v>
      </c>
      <c r="Y5">
        <v>151.80000000000001</v>
      </c>
      <c r="Z5">
        <v>162.30000000000001</v>
      </c>
      <c r="AA5">
        <v>155.4</v>
      </c>
      <c r="AB5">
        <v>146.6</v>
      </c>
      <c r="AC5">
        <v>153.19999999999999</v>
      </c>
      <c r="AD5">
        <v>160.30000000000001</v>
      </c>
      <c r="AE5">
        <v>154.4</v>
      </c>
      <c r="AF5">
        <v>157.80000000000001</v>
      </c>
    </row>
    <row r="6" spans="1:32">
      <c r="A6" t="s">
        <v>34</v>
      </c>
      <c r="B6">
        <v>2021</v>
      </c>
      <c r="C6" t="s">
        <v>38</v>
      </c>
      <c r="D6" t="str">
        <f t="shared" si="0"/>
        <v>May2021</v>
      </c>
      <c r="E6">
        <v>70046.397374263397</v>
      </c>
      <c r="F6">
        <v>146.30000000000001</v>
      </c>
      <c r="G6">
        <v>200.5</v>
      </c>
      <c r="H6" s="4">
        <v>170.3</v>
      </c>
      <c r="I6" s="4">
        <v>156.1</v>
      </c>
      <c r="J6" s="4">
        <v>178.7</v>
      </c>
      <c r="K6">
        <v>167.1</v>
      </c>
      <c r="L6">
        <v>147.9</v>
      </c>
      <c r="M6">
        <v>165.4</v>
      </c>
      <c r="N6">
        <v>114.8</v>
      </c>
      <c r="O6">
        <v>168.2</v>
      </c>
      <c r="P6">
        <v>159.30000000000001</v>
      </c>
      <c r="Q6">
        <v>170.4</v>
      </c>
      <c r="R6">
        <v>160.69999999999999</v>
      </c>
      <c r="S6">
        <v>191.9</v>
      </c>
      <c r="T6">
        <v>161.80000000000001</v>
      </c>
      <c r="U6">
        <v>152.1</v>
      </c>
      <c r="V6">
        <v>160.4</v>
      </c>
      <c r="W6">
        <v>164.2</v>
      </c>
      <c r="X6">
        <v>159.4</v>
      </c>
      <c r="Y6">
        <v>154.69999999999999</v>
      </c>
      <c r="Z6">
        <v>165.8</v>
      </c>
      <c r="AA6">
        <v>158.6</v>
      </c>
      <c r="AB6">
        <v>148.9</v>
      </c>
      <c r="AC6">
        <v>155.80000000000001</v>
      </c>
      <c r="AD6">
        <v>161.19999999999999</v>
      </c>
      <c r="AE6">
        <v>156.80000000000001</v>
      </c>
      <c r="AF6">
        <v>160.4</v>
      </c>
    </row>
    <row r="7" spans="1:32">
      <c r="A7" t="s">
        <v>34</v>
      </c>
      <c r="B7">
        <v>2021</v>
      </c>
      <c r="C7" t="s">
        <v>39</v>
      </c>
      <c r="D7" t="str">
        <f t="shared" si="0"/>
        <v>June2021</v>
      </c>
      <c r="E7">
        <v>71679.348913787893</v>
      </c>
      <c r="F7">
        <v>146.69999999999999</v>
      </c>
      <c r="G7">
        <v>202</v>
      </c>
      <c r="H7" s="4">
        <v>180.7</v>
      </c>
      <c r="I7" s="4">
        <v>156.19999999999999</v>
      </c>
      <c r="J7" s="4">
        <v>183.7</v>
      </c>
      <c r="K7">
        <v>164.6</v>
      </c>
      <c r="L7">
        <v>155.4</v>
      </c>
      <c r="M7">
        <v>166</v>
      </c>
      <c r="N7">
        <v>115.1</v>
      </c>
      <c r="O7">
        <v>168.5</v>
      </c>
      <c r="P7">
        <v>160</v>
      </c>
      <c r="Q7">
        <v>172.4</v>
      </c>
      <c r="R7">
        <v>162.6</v>
      </c>
      <c r="S7">
        <v>190.8</v>
      </c>
      <c r="T7">
        <v>162.19999999999999</v>
      </c>
      <c r="U7">
        <v>151.80000000000001</v>
      </c>
      <c r="V7">
        <v>160.69999999999999</v>
      </c>
      <c r="W7">
        <v>165.5</v>
      </c>
      <c r="X7">
        <v>159.80000000000001</v>
      </c>
      <c r="Y7">
        <v>154.80000000000001</v>
      </c>
      <c r="Z7">
        <v>166.3</v>
      </c>
      <c r="AA7">
        <v>158.80000000000001</v>
      </c>
      <c r="AB7">
        <v>150.69999999999999</v>
      </c>
      <c r="AC7">
        <v>154.9</v>
      </c>
      <c r="AD7">
        <v>161.69999999999999</v>
      </c>
      <c r="AE7">
        <v>157.6</v>
      </c>
      <c r="AF7">
        <v>161.30000000000001</v>
      </c>
    </row>
    <row r="8" spans="1:32">
      <c r="A8" t="s">
        <v>34</v>
      </c>
      <c r="B8">
        <v>2021</v>
      </c>
      <c r="C8" t="s">
        <v>40</v>
      </c>
      <c r="D8" t="str">
        <f t="shared" si="0"/>
        <v>July2021</v>
      </c>
      <c r="E8">
        <v>72860.439470110607</v>
      </c>
      <c r="F8">
        <v>146.4</v>
      </c>
      <c r="G8">
        <v>206.8</v>
      </c>
      <c r="H8" s="4">
        <v>182.2</v>
      </c>
      <c r="I8" s="4">
        <v>157.5</v>
      </c>
      <c r="J8" s="4">
        <v>182.1</v>
      </c>
      <c r="K8">
        <v>163.9</v>
      </c>
      <c r="L8">
        <v>164.2</v>
      </c>
      <c r="M8">
        <v>164</v>
      </c>
      <c r="N8">
        <v>114.5</v>
      </c>
      <c r="O8">
        <v>168.3</v>
      </c>
      <c r="P8">
        <v>160.9</v>
      </c>
      <c r="Q8">
        <v>172.2</v>
      </c>
      <c r="R8">
        <v>164</v>
      </c>
      <c r="S8">
        <v>191.2</v>
      </c>
      <c r="T8">
        <v>162.80000000000001</v>
      </c>
      <c r="U8">
        <v>153.1</v>
      </c>
      <c r="V8">
        <v>161.4</v>
      </c>
      <c r="W8">
        <v>167.5</v>
      </c>
      <c r="X8">
        <v>160.69999999999999</v>
      </c>
      <c r="Y8">
        <v>155.80000000000001</v>
      </c>
      <c r="Z8">
        <v>167</v>
      </c>
      <c r="AA8">
        <v>160.1</v>
      </c>
      <c r="AB8">
        <v>153.1</v>
      </c>
      <c r="AC8">
        <v>155.30000000000001</v>
      </c>
      <c r="AD8">
        <v>163.19999999999999</v>
      </c>
      <c r="AE8">
        <v>159</v>
      </c>
      <c r="AF8">
        <v>162.5</v>
      </c>
    </row>
    <row r="9" spans="1:32">
      <c r="A9" t="s">
        <v>34</v>
      </c>
      <c r="B9">
        <v>2021</v>
      </c>
      <c r="C9" t="s">
        <v>41</v>
      </c>
      <c r="D9" t="str">
        <f t="shared" si="0"/>
        <v>August2021</v>
      </c>
      <c r="E9">
        <v>80983.015512993996</v>
      </c>
      <c r="F9">
        <v>146.6</v>
      </c>
      <c r="G9">
        <v>204</v>
      </c>
      <c r="H9" s="4">
        <v>172.8</v>
      </c>
      <c r="I9" s="4">
        <v>158.4</v>
      </c>
      <c r="J9" s="4">
        <v>188</v>
      </c>
      <c r="K9">
        <v>156.80000000000001</v>
      </c>
      <c r="L9">
        <v>162.19999999999999</v>
      </c>
      <c r="M9">
        <v>164.1</v>
      </c>
      <c r="N9">
        <v>119.7</v>
      </c>
      <c r="O9">
        <v>168.8</v>
      </c>
      <c r="P9">
        <v>162.69999999999999</v>
      </c>
      <c r="Q9">
        <v>173.9</v>
      </c>
      <c r="R9">
        <v>164</v>
      </c>
      <c r="S9">
        <v>192.1</v>
      </c>
      <c r="T9">
        <v>164.5</v>
      </c>
      <c r="U9">
        <v>155.30000000000001</v>
      </c>
      <c r="V9">
        <v>163.19999999999999</v>
      </c>
      <c r="W9">
        <v>169</v>
      </c>
      <c r="X9">
        <v>162.6</v>
      </c>
      <c r="Y9">
        <v>157.5</v>
      </c>
      <c r="Z9">
        <v>168.4</v>
      </c>
      <c r="AA9">
        <v>160</v>
      </c>
      <c r="AB9">
        <v>154</v>
      </c>
      <c r="AC9">
        <v>157.6</v>
      </c>
      <c r="AD9">
        <v>163.80000000000001</v>
      </c>
      <c r="AE9">
        <v>160</v>
      </c>
      <c r="AF9">
        <v>163.19999999999999</v>
      </c>
    </row>
    <row r="10" spans="1:32">
      <c r="A10" t="s">
        <v>34</v>
      </c>
      <c r="B10">
        <v>2021</v>
      </c>
      <c r="C10" t="s">
        <v>42</v>
      </c>
      <c r="D10" t="str">
        <f t="shared" si="0"/>
        <v>September2021</v>
      </c>
      <c r="E10">
        <v>83035.173906576601</v>
      </c>
      <c r="F10">
        <v>146.6</v>
      </c>
      <c r="G10">
        <v>204</v>
      </c>
      <c r="H10" s="4">
        <v>172.8</v>
      </c>
      <c r="I10" s="4">
        <v>158.4</v>
      </c>
      <c r="J10" s="4">
        <v>188</v>
      </c>
      <c r="K10">
        <v>156.69999999999999</v>
      </c>
      <c r="L10">
        <v>162.30000000000001</v>
      </c>
      <c r="M10">
        <v>164.1</v>
      </c>
      <c r="N10">
        <v>119.7</v>
      </c>
      <c r="O10">
        <v>168.8</v>
      </c>
      <c r="P10">
        <v>162.69999999999999</v>
      </c>
      <c r="Q10">
        <v>173.9</v>
      </c>
      <c r="R10">
        <v>164</v>
      </c>
      <c r="S10">
        <v>192.1</v>
      </c>
      <c r="T10">
        <v>164.6</v>
      </c>
      <c r="U10">
        <v>155.30000000000001</v>
      </c>
      <c r="V10">
        <v>163.30000000000001</v>
      </c>
      <c r="W10">
        <v>171.8</v>
      </c>
      <c r="X10">
        <v>162.6</v>
      </c>
      <c r="Y10">
        <v>157.5</v>
      </c>
      <c r="Z10">
        <v>168.4</v>
      </c>
      <c r="AA10">
        <v>160</v>
      </c>
      <c r="AB10">
        <v>154</v>
      </c>
      <c r="AC10">
        <v>157.69999999999999</v>
      </c>
      <c r="AD10">
        <v>163.69999999999999</v>
      </c>
      <c r="AE10">
        <v>160</v>
      </c>
      <c r="AF10">
        <v>163.19999999999999</v>
      </c>
    </row>
    <row r="11" spans="1:32">
      <c r="A11" t="s">
        <v>34</v>
      </c>
      <c r="B11">
        <v>2021</v>
      </c>
      <c r="C11" t="s">
        <v>43</v>
      </c>
      <c r="D11" t="str">
        <f t="shared" si="0"/>
        <v>October2021</v>
      </c>
      <c r="E11">
        <v>91471.513995553905</v>
      </c>
      <c r="F11">
        <v>147.4</v>
      </c>
      <c r="G11">
        <v>204.6</v>
      </c>
      <c r="H11" s="4">
        <v>171.2</v>
      </c>
      <c r="I11" s="4">
        <v>158.69999999999999</v>
      </c>
      <c r="J11" s="4">
        <v>190.6</v>
      </c>
      <c r="K11">
        <v>155.69999999999999</v>
      </c>
      <c r="L11">
        <v>185.3</v>
      </c>
      <c r="M11">
        <v>165.2</v>
      </c>
      <c r="N11">
        <v>121.9</v>
      </c>
      <c r="O11">
        <v>169.3</v>
      </c>
      <c r="P11">
        <v>163.19999999999999</v>
      </c>
      <c r="Q11">
        <v>174.7</v>
      </c>
      <c r="R11">
        <v>167.7</v>
      </c>
      <c r="S11">
        <v>192.7</v>
      </c>
      <c r="T11">
        <v>165.7</v>
      </c>
      <c r="U11">
        <v>156.30000000000001</v>
      </c>
      <c r="V11">
        <v>164.3</v>
      </c>
      <c r="W11">
        <v>173.5</v>
      </c>
      <c r="X11">
        <v>164.2</v>
      </c>
      <c r="Y11">
        <v>158.4</v>
      </c>
      <c r="Z11">
        <v>169.1</v>
      </c>
      <c r="AA11">
        <v>160.80000000000001</v>
      </c>
      <c r="AB11">
        <v>155.69999999999999</v>
      </c>
      <c r="AC11">
        <v>158.6</v>
      </c>
      <c r="AD11">
        <v>163.9</v>
      </c>
      <c r="AE11">
        <v>161</v>
      </c>
      <c r="AF11">
        <v>165.5</v>
      </c>
    </row>
    <row r="12" spans="1:32">
      <c r="A12" t="s">
        <v>34</v>
      </c>
      <c r="B12">
        <v>2021</v>
      </c>
      <c r="C12" t="s">
        <v>45</v>
      </c>
      <c r="D12" t="str">
        <f t="shared" si="0"/>
        <v>November2021</v>
      </c>
      <c r="E12">
        <v>95105.451863192196</v>
      </c>
      <c r="F12">
        <v>148.19999999999999</v>
      </c>
      <c r="G12">
        <v>201.6</v>
      </c>
      <c r="H12" s="4">
        <v>173</v>
      </c>
      <c r="I12" s="4">
        <v>159.30000000000001</v>
      </c>
      <c r="J12" s="4">
        <v>190.1</v>
      </c>
      <c r="K12">
        <v>156.5</v>
      </c>
      <c r="L12">
        <v>199.2</v>
      </c>
      <c r="M12">
        <v>165.3</v>
      </c>
      <c r="N12">
        <v>122.4</v>
      </c>
      <c r="O12">
        <v>169.6</v>
      </c>
      <c r="P12">
        <v>163.69999999999999</v>
      </c>
      <c r="Q12">
        <v>175.5</v>
      </c>
      <c r="R12">
        <v>169.7</v>
      </c>
      <c r="S12">
        <v>192.9</v>
      </c>
      <c r="T12">
        <v>167.2</v>
      </c>
      <c r="U12">
        <v>157.4</v>
      </c>
      <c r="V12">
        <v>165.8</v>
      </c>
      <c r="W12">
        <v>175.6</v>
      </c>
      <c r="X12">
        <v>163.9</v>
      </c>
      <c r="Y12">
        <v>159.30000000000001</v>
      </c>
      <c r="Z12">
        <v>169.9</v>
      </c>
      <c r="AA12">
        <v>162.19999999999999</v>
      </c>
      <c r="AB12">
        <v>154.80000000000001</v>
      </c>
      <c r="AC12">
        <v>159.80000000000001</v>
      </c>
      <c r="AD12">
        <v>164.3</v>
      </c>
      <c r="AE12">
        <v>161.4</v>
      </c>
      <c r="AF12">
        <v>166.7</v>
      </c>
    </row>
    <row r="13" spans="1:32">
      <c r="A13" t="s">
        <v>34</v>
      </c>
      <c r="B13">
        <v>2021</v>
      </c>
      <c r="C13" t="s">
        <v>46</v>
      </c>
      <c r="D13" t="str">
        <f t="shared" si="0"/>
        <v>December2021</v>
      </c>
      <c r="E13">
        <v>100380.52800837099</v>
      </c>
      <c r="F13">
        <v>148.69999999999999</v>
      </c>
      <c r="G13">
        <v>198.8</v>
      </c>
      <c r="H13" s="4">
        <v>177.9</v>
      </c>
      <c r="I13" s="4">
        <v>159.9</v>
      </c>
      <c r="J13" s="4">
        <v>187.6</v>
      </c>
      <c r="K13">
        <v>154.9</v>
      </c>
      <c r="L13">
        <v>188.3</v>
      </c>
      <c r="M13">
        <v>164.4</v>
      </c>
      <c r="N13">
        <v>121</v>
      </c>
      <c r="O13">
        <v>170.5</v>
      </c>
      <c r="P13">
        <v>164.2</v>
      </c>
      <c r="Q13">
        <v>176.5</v>
      </c>
      <c r="R13">
        <v>168.2</v>
      </c>
      <c r="S13">
        <v>192.4</v>
      </c>
      <c r="T13">
        <v>168.5</v>
      </c>
      <c r="U13">
        <v>158.69999999999999</v>
      </c>
      <c r="V13">
        <v>167</v>
      </c>
      <c r="W13">
        <v>159.80000000000001</v>
      </c>
      <c r="X13">
        <v>164.1</v>
      </c>
      <c r="Y13">
        <v>160.19999999999999</v>
      </c>
      <c r="Z13">
        <v>170.6</v>
      </c>
      <c r="AA13">
        <v>162.6</v>
      </c>
      <c r="AB13">
        <v>155.69999999999999</v>
      </c>
      <c r="AC13">
        <v>160.6</v>
      </c>
      <c r="AD13">
        <v>164.4</v>
      </c>
      <c r="AE13">
        <v>162</v>
      </c>
      <c r="AF13">
        <v>166.2</v>
      </c>
    </row>
    <row r="14" spans="1:32">
      <c r="A14" t="s">
        <v>34</v>
      </c>
      <c r="B14">
        <v>2022</v>
      </c>
      <c r="C14" t="s">
        <v>31</v>
      </c>
      <c r="D14" t="str">
        <f t="shared" si="0"/>
        <v>January2022</v>
      </c>
      <c r="E14">
        <v>101828.288877698</v>
      </c>
      <c r="F14">
        <v>149.5</v>
      </c>
      <c r="G14">
        <v>198.7</v>
      </c>
      <c r="H14" s="4">
        <v>178.8</v>
      </c>
      <c r="I14" s="4">
        <v>160.5</v>
      </c>
      <c r="J14" s="4">
        <v>184.7</v>
      </c>
      <c r="K14">
        <v>153.69999999999999</v>
      </c>
      <c r="L14">
        <v>174.3</v>
      </c>
      <c r="M14">
        <v>163.9</v>
      </c>
      <c r="N14">
        <v>120</v>
      </c>
      <c r="O14">
        <v>172.1</v>
      </c>
      <c r="P14">
        <v>164.3</v>
      </c>
      <c r="Q14">
        <v>177.3</v>
      </c>
      <c r="R14">
        <v>166.4</v>
      </c>
      <c r="S14">
        <v>192.2</v>
      </c>
      <c r="T14">
        <v>169.9</v>
      </c>
      <c r="U14">
        <v>160.69999999999999</v>
      </c>
      <c r="V14">
        <v>168.5</v>
      </c>
      <c r="W14">
        <v>164.2</v>
      </c>
      <c r="X14">
        <v>164.2</v>
      </c>
      <c r="Y14">
        <v>161.1</v>
      </c>
      <c r="Z14">
        <v>171.4</v>
      </c>
      <c r="AA14">
        <v>163</v>
      </c>
      <c r="AB14">
        <v>156.5</v>
      </c>
      <c r="AC14">
        <v>161.19999999999999</v>
      </c>
      <c r="AD14">
        <v>164.7</v>
      </c>
      <c r="AE14">
        <v>162.69999999999999</v>
      </c>
      <c r="AF14">
        <v>165.7</v>
      </c>
    </row>
    <row r="15" spans="1:32">
      <c r="A15" t="s">
        <v>34</v>
      </c>
      <c r="B15">
        <v>2022</v>
      </c>
      <c r="C15" t="s">
        <v>35</v>
      </c>
      <c r="D15" t="str">
        <f t="shared" si="0"/>
        <v>February2022</v>
      </c>
      <c r="E15">
        <v>102317.688033714</v>
      </c>
      <c r="F15">
        <v>150</v>
      </c>
      <c r="G15">
        <v>200.6</v>
      </c>
      <c r="H15" s="4">
        <v>175.8</v>
      </c>
      <c r="I15" s="4">
        <v>160.69999999999999</v>
      </c>
      <c r="J15" s="4">
        <v>184.9</v>
      </c>
      <c r="K15">
        <v>153.69999999999999</v>
      </c>
      <c r="L15">
        <v>169.7</v>
      </c>
      <c r="M15">
        <v>163.69999999999999</v>
      </c>
      <c r="N15">
        <v>118.9</v>
      </c>
      <c r="O15">
        <v>174.3</v>
      </c>
      <c r="P15">
        <v>164.7</v>
      </c>
      <c r="Q15">
        <v>178</v>
      </c>
      <c r="R15">
        <v>166.2</v>
      </c>
      <c r="S15">
        <v>192.8</v>
      </c>
      <c r="T15">
        <v>170.8</v>
      </c>
      <c r="U15">
        <v>162.4</v>
      </c>
      <c r="V15">
        <v>169.6</v>
      </c>
      <c r="W15">
        <v>169</v>
      </c>
      <c r="X15">
        <v>165.7</v>
      </c>
      <c r="Y15">
        <v>161.80000000000001</v>
      </c>
      <c r="Z15">
        <v>172.2</v>
      </c>
      <c r="AA15">
        <v>164.4</v>
      </c>
      <c r="AB15">
        <v>156.9</v>
      </c>
      <c r="AC15">
        <v>162.1</v>
      </c>
      <c r="AD15">
        <v>165.4</v>
      </c>
      <c r="AE15">
        <v>163.5</v>
      </c>
      <c r="AF15">
        <v>166.1</v>
      </c>
    </row>
    <row r="16" spans="1:32">
      <c r="A16" t="s">
        <v>34</v>
      </c>
      <c r="B16">
        <v>2022</v>
      </c>
      <c r="C16" t="s">
        <v>36</v>
      </c>
      <c r="D16" t="str">
        <f t="shared" si="0"/>
        <v>March2022</v>
      </c>
      <c r="E16">
        <v>134181.47733497701</v>
      </c>
      <c r="F16">
        <v>151.30000000000001</v>
      </c>
      <c r="G16">
        <v>210.7</v>
      </c>
      <c r="H16" s="4">
        <v>167.8</v>
      </c>
      <c r="I16" s="4">
        <v>162.19999999999999</v>
      </c>
      <c r="J16" s="4">
        <v>194.6</v>
      </c>
      <c r="K16">
        <v>157.6</v>
      </c>
      <c r="L16">
        <v>166.9</v>
      </c>
      <c r="M16">
        <v>163.9</v>
      </c>
      <c r="N16">
        <v>118.8</v>
      </c>
      <c r="O16">
        <v>177.4</v>
      </c>
      <c r="P16">
        <v>165.3</v>
      </c>
      <c r="Q16">
        <v>179.3</v>
      </c>
      <c r="R16">
        <v>168.4</v>
      </c>
      <c r="S16">
        <v>193.7</v>
      </c>
      <c r="T16">
        <v>172.1</v>
      </c>
      <c r="U16">
        <v>164.6</v>
      </c>
      <c r="V16">
        <v>171.1</v>
      </c>
      <c r="W16">
        <v>175.6</v>
      </c>
      <c r="X16">
        <v>167.2</v>
      </c>
      <c r="Y16">
        <v>162.80000000000001</v>
      </c>
      <c r="Z16">
        <v>173</v>
      </c>
      <c r="AA16">
        <v>167.2</v>
      </c>
      <c r="AB16">
        <v>157.9</v>
      </c>
      <c r="AC16">
        <v>163.30000000000001</v>
      </c>
      <c r="AD16">
        <v>166</v>
      </c>
      <c r="AE16">
        <v>164.6</v>
      </c>
      <c r="AF16">
        <v>167.7</v>
      </c>
    </row>
    <row r="17" spans="1:32">
      <c r="A17" t="s">
        <v>34</v>
      </c>
      <c r="B17">
        <v>2022</v>
      </c>
      <c r="C17" t="s">
        <v>37</v>
      </c>
      <c r="D17" t="str">
        <f t="shared" si="0"/>
        <v>April2022</v>
      </c>
      <c r="E17">
        <v>151257.77739211501</v>
      </c>
      <c r="F17">
        <v>152.9</v>
      </c>
      <c r="G17">
        <v>211.8</v>
      </c>
      <c r="H17" s="4">
        <v>164.5</v>
      </c>
      <c r="I17" s="4">
        <v>163.9</v>
      </c>
      <c r="J17" s="4">
        <v>199.5</v>
      </c>
      <c r="K17">
        <v>172.6</v>
      </c>
      <c r="L17">
        <v>166.2</v>
      </c>
      <c r="M17">
        <v>164.7</v>
      </c>
      <c r="N17">
        <v>119</v>
      </c>
      <c r="O17">
        <v>181.3</v>
      </c>
      <c r="P17">
        <v>166.2</v>
      </c>
      <c r="Q17">
        <v>180.9</v>
      </c>
      <c r="R17">
        <v>170.8</v>
      </c>
      <c r="S17">
        <v>193.9</v>
      </c>
      <c r="T17">
        <v>173.9</v>
      </c>
      <c r="U17">
        <v>166.5</v>
      </c>
      <c r="V17">
        <v>172.8</v>
      </c>
      <c r="W17">
        <v>165.5</v>
      </c>
      <c r="X17">
        <v>172.2</v>
      </c>
      <c r="Y17">
        <v>164</v>
      </c>
      <c r="Z17">
        <v>174</v>
      </c>
      <c r="AA17">
        <v>168.8</v>
      </c>
      <c r="AB17">
        <v>162.6</v>
      </c>
      <c r="AC17">
        <v>164.4</v>
      </c>
      <c r="AD17">
        <v>166.9</v>
      </c>
      <c r="AE17">
        <v>166.8</v>
      </c>
      <c r="AF17">
        <v>170.1</v>
      </c>
    </row>
    <row r="18" spans="1:32">
      <c r="A18" t="s">
        <v>34</v>
      </c>
      <c r="B18">
        <v>2022</v>
      </c>
      <c r="C18" t="s">
        <v>38</v>
      </c>
      <c r="D18" t="str">
        <f t="shared" si="0"/>
        <v>May2022</v>
      </c>
      <c r="E18">
        <v>137781.523690267</v>
      </c>
      <c r="F18">
        <v>154.1</v>
      </c>
      <c r="G18">
        <v>217</v>
      </c>
      <c r="H18" s="4">
        <v>162.4</v>
      </c>
      <c r="I18" s="4">
        <v>164.9</v>
      </c>
      <c r="J18" s="4">
        <v>202.4</v>
      </c>
      <c r="K18">
        <v>171</v>
      </c>
      <c r="L18">
        <v>174.9</v>
      </c>
      <c r="M18">
        <v>164.7</v>
      </c>
      <c r="N18">
        <v>119.7</v>
      </c>
      <c r="O18">
        <v>184.9</v>
      </c>
      <c r="P18">
        <v>167.1</v>
      </c>
      <c r="Q18">
        <v>182.5</v>
      </c>
      <c r="R18">
        <v>173.3</v>
      </c>
      <c r="S18">
        <v>194.1</v>
      </c>
      <c r="T18">
        <v>175.6</v>
      </c>
      <c r="U18">
        <v>168.4</v>
      </c>
      <c r="V18">
        <v>174.6</v>
      </c>
      <c r="W18">
        <v>167.5</v>
      </c>
      <c r="X18">
        <v>174.6</v>
      </c>
      <c r="Y18">
        <v>165.2</v>
      </c>
      <c r="Z18">
        <v>174.8</v>
      </c>
      <c r="AA18">
        <v>168.4</v>
      </c>
      <c r="AB18">
        <v>163</v>
      </c>
      <c r="AC18">
        <v>165.1</v>
      </c>
      <c r="AD18">
        <v>167.9</v>
      </c>
      <c r="AE18">
        <v>167.5</v>
      </c>
      <c r="AF18">
        <v>171.7</v>
      </c>
    </row>
    <row r="19" spans="1:32">
      <c r="A19" t="s">
        <v>34</v>
      </c>
      <c r="B19">
        <v>2022</v>
      </c>
      <c r="C19" t="s">
        <v>39</v>
      </c>
      <c r="D19" t="str">
        <f t="shared" si="0"/>
        <v>June2022</v>
      </c>
      <c r="E19">
        <v>140361.99809642401</v>
      </c>
      <c r="F19">
        <v>155</v>
      </c>
      <c r="G19">
        <v>219.4</v>
      </c>
      <c r="H19" s="4">
        <v>170.8</v>
      </c>
      <c r="I19" s="4">
        <v>165.8</v>
      </c>
      <c r="J19" s="4">
        <v>200.9</v>
      </c>
      <c r="K19">
        <v>169.7</v>
      </c>
      <c r="L19">
        <v>182.3</v>
      </c>
      <c r="M19">
        <v>164.3</v>
      </c>
      <c r="N19">
        <v>119.9</v>
      </c>
      <c r="O19">
        <v>187.1</v>
      </c>
      <c r="P19">
        <v>167.9</v>
      </c>
      <c r="Q19">
        <v>183.9</v>
      </c>
      <c r="R19">
        <v>174.9</v>
      </c>
      <c r="S19">
        <v>194.3</v>
      </c>
      <c r="T19">
        <v>177.1</v>
      </c>
      <c r="U19">
        <v>169.9</v>
      </c>
      <c r="V19">
        <v>176</v>
      </c>
      <c r="W19">
        <v>169</v>
      </c>
      <c r="X19">
        <v>176</v>
      </c>
      <c r="Y19">
        <v>166.4</v>
      </c>
      <c r="Z19">
        <v>175.4</v>
      </c>
      <c r="AA19">
        <v>169.4</v>
      </c>
      <c r="AB19">
        <v>161.1</v>
      </c>
      <c r="AC19">
        <v>165.8</v>
      </c>
      <c r="AD19">
        <v>169</v>
      </c>
      <c r="AE19">
        <v>167.5</v>
      </c>
      <c r="AF19">
        <v>172.6</v>
      </c>
    </row>
    <row r="20" spans="1:32">
      <c r="A20" t="s">
        <v>34</v>
      </c>
      <c r="B20">
        <v>2022</v>
      </c>
      <c r="C20" t="s">
        <v>40</v>
      </c>
      <c r="D20" t="str">
        <f t="shared" si="0"/>
        <v>July2022</v>
      </c>
      <c r="E20">
        <v>148619.35499624</v>
      </c>
      <c r="F20">
        <v>156.5</v>
      </c>
      <c r="G20">
        <v>213</v>
      </c>
      <c r="H20" s="4">
        <v>175.2</v>
      </c>
      <c r="I20" s="4">
        <v>166.6</v>
      </c>
      <c r="J20" s="4">
        <v>195.8</v>
      </c>
      <c r="K20">
        <v>174.2</v>
      </c>
      <c r="L20">
        <v>182.1</v>
      </c>
      <c r="M20">
        <v>164.3</v>
      </c>
      <c r="N20">
        <v>120</v>
      </c>
      <c r="O20">
        <v>190</v>
      </c>
      <c r="P20">
        <v>168.4</v>
      </c>
      <c r="Q20">
        <v>185.2</v>
      </c>
      <c r="R20">
        <v>175</v>
      </c>
      <c r="S20">
        <v>194.6</v>
      </c>
      <c r="T20">
        <v>178.3</v>
      </c>
      <c r="U20">
        <v>171.3</v>
      </c>
      <c r="V20">
        <v>177.3</v>
      </c>
      <c r="W20">
        <v>171.8</v>
      </c>
      <c r="X20">
        <v>179.6</v>
      </c>
      <c r="Y20">
        <v>167.4</v>
      </c>
      <c r="Z20">
        <v>176.1</v>
      </c>
      <c r="AA20">
        <v>169.7</v>
      </c>
      <c r="AB20">
        <v>161.6</v>
      </c>
      <c r="AC20">
        <v>166.3</v>
      </c>
      <c r="AD20">
        <v>171.4</v>
      </c>
      <c r="AE20">
        <v>168.4</v>
      </c>
      <c r="AF20">
        <v>173.4</v>
      </c>
    </row>
    <row r="21" spans="1:32">
      <c r="A21" t="s">
        <v>34</v>
      </c>
      <c r="B21">
        <v>2022</v>
      </c>
      <c r="C21" t="s">
        <v>41</v>
      </c>
      <c r="D21" t="str">
        <f t="shared" si="0"/>
        <v>August2022</v>
      </c>
      <c r="E21">
        <v>120976.19320076999</v>
      </c>
      <c r="F21">
        <v>160.30000000000001</v>
      </c>
      <c r="G21">
        <v>206.5</v>
      </c>
      <c r="H21" s="4">
        <v>169.2</v>
      </c>
      <c r="I21" s="4">
        <v>168.1</v>
      </c>
      <c r="J21" s="4">
        <v>192.4</v>
      </c>
      <c r="K21">
        <v>172.9</v>
      </c>
      <c r="L21">
        <v>186.7</v>
      </c>
      <c r="M21">
        <v>167.2</v>
      </c>
      <c r="N21">
        <v>120.9</v>
      </c>
      <c r="O21">
        <v>193.6</v>
      </c>
      <c r="P21">
        <v>168.8</v>
      </c>
      <c r="Q21">
        <v>186.3</v>
      </c>
      <c r="R21">
        <v>176.3</v>
      </c>
      <c r="S21">
        <v>195</v>
      </c>
      <c r="T21">
        <v>179.5</v>
      </c>
      <c r="U21">
        <v>172.7</v>
      </c>
      <c r="V21">
        <v>178.5</v>
      </c>
      <c r="W21">
        <v>173.5</v>
      </c>
      <c r="X21">
        <v>178.8</v>
      </c>
      <c r="Y21">
        <v>168.5</v>
      </c>
      <c r="Z21">
        <v>176.8</v>
      </c>
      <c r="AA21">
        <v>171.2</v>
      </c>
      <c r="AB21">
        <v>161.9</v>
      </c>
      <c r="AC21">
        <v>166.9</v>
      </c>
      <c r="AD21">
        <v>172.3</v>
      </c>
      <c r="AE21">
        <v>169.1</v>
      </c>
      <c r="AF21">
        <v>174.3</v>
      </c>
    </row>
    <row r="22" spans="1:32">
      <c r="A22" t="s">
        <v>34</v>
      </c>
      <c r="B22">
        <v>2022</v>
      </c>
      <c r="C22" t="s">
        <v>42</v>
      </c>
      <c r="D22" t="str">
        <f t="shared" si="0"/>
        <v>September2022</v>
      </c>
      <c r="E22">
        <v>110015.881041999</v>
      </c>
      <c r="F22">
        <v>163.5</v>
      </c>
      <c r="G22">
        <v>209.2</v>
      </c>
      <c r="H22" s="4">
        <v>169.7</v>
      </c>
      <c r="I22" s="4">
        <v>169.7</v>
      </c>
      <c r="J22" s="4">
        <v>188.7</v>
      </c>
      <c r="K22">
        <v>165.7</v>
      </c>
      <c r="L22">
        <v>191.8</v>
      </c>
      <c r="M22">
        <v>169.1</v>
      </c>
      <c r="N22">
        <v>121.6</v>
      </c>
      <c r="O22">
        <v>197.3</v>
      </c>
      <c r="P22">
        <v>169.4</v>
      </c>
      <c r="Q22">
        <v>187.4</v>
      </c>
      <c r="R22">
        <v>177.8</v>
      </c>
      <c r="S22">
        <v>195.9</v>
      </c>
      <c r="T22">
        <v>180.9</v>
      </c>
      <c r="U22">
        <v>174.3</v>
      </c>
      <c r="V22">
        <v>179.9</v>
      </c>
      <c r="W22">
        <v>175.6</v>
      </c>
      <c r="X22">
        <v>179.5</v>
      </c>
      <c r="Y22">
        <v>169.5</v>
      </c>
      <c r="Z22">
        <v>177.8</v>
      </c>
      <c r="AA22">
        <v>170.9</v>
      </c>
      <c r="AB22">
        <v>162.30000000000001</v>
      </c>
      <c r="AC22">
        <v>167.6</v>
      </c>
      <c r="AD22">
        <v>173.1</v>
      </c>
      <c r="AE22">
        <v>169.7</v>
      </c>
      <c r="AF22">
        <v>175.3</v>
      </c>
    </row>
    <row r="23" spans="1:32">
      <c r="A23" t="s">
        <v>34</v>
      </c>
      <c r="B23">
        <v>2022</v>
      </c>
      <c r="C23" t="s">
        <v>43</v>
      </c>
      <c r="D23" t="str">
        <f t="shared" si="0"/>
        <v>October2022</v>
      </c>
      <c r="E23">
        <v>116548.197341684</v>
      </c>
      <c r="F23">
        <v>165.2</v>
      </c>
      <c r="G23">
        <v>210.9</v>
      </c>
      <c r="H23" s="4">
        <v>170.9</v>
      </c>
      <c r="I23" s="4">
        <v>170.9</v>
      </c>
      <c r="J23" s="4">
        <v>186.5</v>
      </c>
      <c r="K23">
        <v>163.80000000000001</v>
      </c>
      <c r="L23">
        <v>199.7</v>
      </c>
      <c r="M23">
        <v>169.8</v>
      </c>
      <c r="N23">
        <v>121.9</v>
      </c>
      <c r="O23">
        <v>199.9</v>
      </c>
      <c r="P23">
        <v>169.9</v>
      </c>
      <c r="Q23">
        <v>188.3</v>
      </c>
      <c r="R23">
        <v>179.6</v>
      </c>
      <c r="S23">
        <v>196.3</v>
      </c>
      <c r="T23">
        <v>181.9</v>
      </c>
      <c r="U23">
        <v>175.3</v>
      </c>
      <c r="V23">
        <v>181</v>
      </c>
      <c r="W23">
        <v>159.80000000000001</v>
      </c>
      <c r="X23">
        <v>180.5</v>
      </c>
      <c r="Y23">
        <v>170.4</v>
      </c>
      <c r="Z23">
        <v>178.7</v>
      </c>
      <c r="AA23">
        <v>172.1</v>
      </c>
      <c r="AB23">
        <v>162.9</v>
      </c>
      <c r="AC23">
        <v>168.2</v>
      </c>
      <c r="AD23">
        <v>173.4</v>
      </c>
      <c r="AE23">
        <v>170.5</v>
      </c>
      <c r="AF23">
        <v>176.7</v>
      </c>
    </row>
    <row r="24" spans="1:32">
      <c r="A24" t="s">
        <v>34</v>
      </c>
      <c r="B24">
        <v>2022</v>
      </c>
      <c r="C24" t="s">
        <v>45</v>
      </c>
      <c r="D24" t="str">
        <f t="shared" si="0"/>
        <v>November2022</v>
      </c>
      <c r="E24">
        <v>118277.276201341</v>
      </c>
      <c r="F24">
        <v>167.4</v>
      </c>
      <c r="G24">
        <v>209.4</v>
      </c>
      <c r="H24" s="4">
        <v>181.4</v>
      </c>
      <c r="I24" s="4">
        <v>172.3</v>
      </c>
      <c r="J24" s="4">
        <v>188.9</v>
      </c>
      <c r="K24">
        <v>160.69999999999999</v>
      </c>
      <c r="L24">
        <v>183.1</v>
      </c>
      <c r="M24">
        <v>170.5</v>
      </c>
      <c r="N24">
        <v>122.1</v>
      </c>
      <c r="O24">
        <v>202.8</v>
      </c>
      <c r="P24">
        <v>170.4</v>
      </c>
      <c r="Q24">
        <v>189.5</v>
      </c>
      <c r="R24">
        <v>178.3</v>
      </c>
      <c r="S24">
        <v>196.9</v>
      </c>
      <c r="T24">
        <v>183.1</v>
      </c>
      <c r="U24">
        <v>176.2</v>
      </c>
      <c r="V24">
        <v>182.1</v>
      </c>
      <c r="W24">
        <v>164.2</v>
      </c>
      <c r="X24">
        <v>181.3</v>
      </c>
      <c r="Y24">
        <v>171.4</v>
      </c>
      <c r="Z24">
        <v>179.8</v>
      </c>
      <c r="AA24">
        <v>173.6</v>
      </c>
      <c r="AB24">
        <v>163</v>
      </c>
      <c r="AC24">
        <v>168.5</v>
      </c>
      <c r="AD24">
        <v>173.7</v>
      </c>
      <c r="AE24">
        <v>171.1</v>
      </c>
      <c r="AF24">
        <v>176.5</v>
      </c>
    </row>
    <row r="25" spans="1:32">
      <c r="A25" t="s">
        <v>34</v>
      </c>
      <c r="B25">
        <v>2022</v>
      </c>
      <c r="C25" t="s">
        <v>46</v>
      </c>
      <c r="D25" t="str">
        <f t="shared" si="0"/>
        <v>December2022</v>
      </c>
      <c r="E25">
        <v>112095.477543425</v>
      </c>
      <c r="F25">
        <v>169.2</v>
      </c>
      <c r="G25">
        <v>209</v>
      </c>
      <c r="H25" s="4">
        <v>190.2</v>
      </c>
      <c r="I25" s="4">
        <v>173.6</v>
      </c>
      <c r="J25" s="4">
        <v>188.5</v>
      </c>
      <c r="K25">
        <v>158</v>
      </c>
      <c r="L25">
        <v>159.9</v>
      </c>
      <c r="M25">
        <v>170.8</v>
      </c>
      <c r="N25">
        <v>121.8</v>
      </c>
      <c r="O25">
        <v>205.2</v>
      </c>
      <c r="P25">
        <v>171</v>
      </c>
      <c r="Q25">
        <v>190.3</v>
      </c>
      <c r="R25">
        <v>175.9</v>
      </c>
      <c r="S25">
        <v>197.3</v>
      </c>
      <c r="T25">
        <v>184</v>
      </c>
      <c r="U25">
        <v>177</v>
      </c>
      <c r="V25">
        <v>183</v>
      </c>
      <c r="W25">
        <v>169</v>
      </c>
      <c r="X25">
        <v>182</v>
      </c>
      <c r="Y25">
        <v>172.1</v>
      </c>
      <c r="Z25">
        <v>181.1</v>
      </c>
      <c r="AA25">
        <v>175.8</v>
      </c>
      <c r="AB25">
        <v>163.4</v>
      </c>
      <c r="AC25">
        <v>168.9</v>
      </c>
      <c r="AD25">
        <v>174.1</v>
      </c>
      <c r="AE25">
        <v>172</v>
      </c>
      <c r="AF25">
        <v>175.7</v>
      </c>
    </row>
    <row r="26" spans="1:32">
      <c r="A26" t="s">
        <v>34</v>
      </c>
      <c r="B26">
        <v>2023</v>
      </c>
      <c r="C26" t="s">
        <v>31</v>
      </c>
      <c r="D26" t="str">
        <f t="shared" si="0"/>
        <v>January2023</v>
      </c>
      <c r="E26">
        <v>108892.965233639</v>
      </c>
      <c r="F26">
        <v>173.8</v>
      </c>
      <c r="G26">
        <v>210.7</v>
      </c>
      <c r="H26" s="4">
        <v>194.5</v>
      </c>
      <c r="I26" s="4">
        <v>174.6</v>
      </c>
      <c r="J26" s="4">
        <v>187.2</v>
      </c>
      <c r="K26">
        <v>158.30000000000001</v>
      </c>
      <c r="L26">
        <v>153.9</v>
      </c>
      <c r="M26">
        <v>170.9</v>
      </c>
      <c r="N26">
        <v>121.1</v>
      </c>
      <c r="O26">
        <v>208.4</v>
      </c>
      <c r="P26">
        <v>171.4</v>
      </c>
      <c r="Q26">
        <v>191.2</v>
      </c>
      <c r="R26">
        <v>176.7</v>
      </c>
      <c r="S26">
        <v>198.2</v>
      </c>
      <c r="T26">
        <v>184.9</v>
      </c>
      <c r="U26">
        <v>177.6</v>
      </c>
      <c r="V26">
        <v>183.8</v>
      </c>
      <c r="W26">
        <v>175.6</v>
      </c>
      <c r="X26">
        <v>182</v>
      </c>
      <c r="Y26">
        <v>172.9</v>
      </c>
      <c r="Z26">
        <v>182.3</v>
      </c>
      <c r="AA26">
        <v>178.6</v>
      </c>
      <c r="AB26">
        <v>163.6</v>
      </c>
      <c r="AC26">
        <v>169.5</v>
      </c>
      <c r="AD26">
        <v>174.3</v>
      </c>
      <c r="AE26">
        <v>172.8</v>
      </c>
      <c r="AF26">
        <v>176.5</v>
      </c>
    </row>
    <row r="27" spans="1:32">
      <c r="A27" t="s">
        <v>34</v>
      </c>
      <c r="B27">
        <v>2023</v>
      </c>
      <c r="C27" t="s">
        <v>35</v>
      </c>
      <c r="D27" t="str">
        <f t="shared" si="0"/>
        <v>February2023</v>
      </c>
      <c r="E27">
        <v>103743.50619254399</v>
      </c>
      <c r="F27">
        <v>174.4</v>
      </c>
      <c r="G27">
        <v>207.7</v>
      </c>
      <c r="H27" s="4">
        <v>175.2</v>
      </c>
      <c r="I27" s="4">
        <v>177.3</v>
      </c>
      <c r="J27" s="4">
        <v>179.3</v>
      </c>
      <c r="K27">
        <v>169.5</v>
      </c>
      <c r="L27">
        <v>152.69999999999999</v>
      </c>
      <c r="M27">
        <v>171</v>
      </c>
      <c r="N27">
        <v>120</v>
      </c>
      <c r="O27">
        <v>209.7</v>
      </c>
      <c r="P27">
        <v>172.3</v>
      </c>
      <c r="Q27">
        <v>193</v>
      </c>
      <c r="R27">
        <v>177</v>
      </c>
      <c r="S27">
        <v>199.5</v>
      </c>
      <c r="T27">
        <v>186.2</v>
      </c>
      <c r="U27">
        <v>178.7</v>
      </c>
      <c r="V27">
        <v>185.1</v>
      </c>
      <c r="W27">
        <v>169</v>
      </c>
      <c r="X27">
        <v>182.1</v>
      </c>
      <c r="Y27">
        <v>174.2</v>
      </c>
      <c r="Z27">
        <v>184.4</v>
      </c>
      <c r="AA27">
        <v>181</v>
      </c>
      <c r="AB27">
        <v>164.2</v>
      </c>
      <c r="AC27">
        <v>170.3</v>
      </c>
      <c r="AD27">
        <v>175</v>
      </c>
      <c r="AE27">
        <v>174.1</v>
      </c>
      <c r="AF27">
        <v>177.2</v>
      </c>
    </row>
    <row r="28" spans="1:32">
      <c r="A28" t="s">
        <v>34</v>
      </c>
      <c r="B28">
        <v>2023</v>
      </c>
      <c r="C28" t="s">
        <v>36</v>
      </c>
      <c r="D28" t="str">
        <f t="shared" si="0"/>
        <v>March2023</v>
      </c>
      <c r="E28">
        <v>107655.661515607</v>
      </c>
      <c r="F28">
        <v>174.4</v>
      </c>
      <c r="G28">
        <v>207.7</v>
      </c>
      <c r="H28" s="4">
        <v>175.2</v>
      </c>
      <c r="I28" s="4">
        <v>177.3</v>
      </c>
      <c r="J28" s="4">
        <v>179.2</v>
      </c>
      <c r="K28">
        <v>169.5</v>
      </c>
      <c r="L28">
        <v>152.80000000000001</v>
      </c>
      <c r="M28">
        <v>171.1</v>
      </c>
      <c r="N28">
        <v>120</v>
      </c>
      <c r="O28">
        <v>209.7</v>
      </c>
      <c r="P28">
        <v>172.3</v>
      </c>
      <c r="Q28">
        <v>193</v>
      </c>
      <c r="R28">
        <v>177</v>
      </c>
      <c r="S28">
        <v>199.5</v>
      </c>
      <c r="T28">
        <v>186.1</v>
      </c>
      <c r="U28">
        <v>178.7</v>
      </c>
      <c r="V28">
        <v>185.1</v>
      </c>
      <c r="W28">
        <v>167.5</v>
      </c>
      <c r="X28">
        <v>181.9</v>
      </c>
      <c r="Y28">
        <v>174.2</v>
      </c>
      <c r="Z28">
        <v>184.4</v>
      </c>
      <c r="AA28">
        <v>181</v>
      </c>
      <c r="AB28">
        <v>164.2</v>
      </c>
      <c r="AC28">
        <v>170.3</v>
      </c>
      <c r="AD28">
        <v>175</v>
      </c>
      <c r="AE28">
        <v>174.1</v>
      </c>
      <c r="AF28">
        <v>177.2</v>
      </c>
    </row>
    <row r="29" spans="1:32">
      <c r="A29" t="s">
        <v>34</v>
      </c>
      <c r="B29">
        <v>2023</v>
      </c>
      <c r="C29" t="s">
        <v>37</v>
      </c>
      <c r="D29" t="str">
        <f t="shared" si="0"/>
        <v>April2023</v>
      </c>
      <c r="E29">
        <v>101450.654048938</v>
      </c>
      <c r="F29">
        <v>173.8</v>
      </c>
      <c r="G29">
        <v>209.3</v>
      </c>
      <c r="H29" s="4">
        <v>169.6</v>
      </c>
      <c r="I29" s="4">
        <v>178.4</v>
      </c>
      <c r="J29" s="4">
        <v>174.9</v>
      </c>
      <c r="K29">
        <v>176.3</v>
      </c>
      <c r="L29">
        <v>155.4</v>
      </c>
      <c r="M29">
        <v>173.4</v>
      </c>
      <c r="N29">
        <v>121.3</v>
      </c>
      <c r="O29">
        <v>212.9</v>
      </c>
      <c r="P29">
        <v>172.9</v>
      </c>
      <c r="Q29">
        <v>193.5</v>
      </c>
      <c r="R29">
        <v>177.9</v>
      </c>
      <c r="S29">
        <v>200.6</v>
      </c>
      <c r="T29">
        <v>186.9</v>
      </c>
      <c r="U29">
        <v>179.2</v>
      </c>
      <c r="V29">
        <v>185.7</v>
      </c>
      <c r="W29">
        <v>173.5</v>
      </c>
      <c r="X29">
        <v>181.7</v>
      </c>
      <c r="Y29">
        <v>174.6</v>
      </c>
      <c r="Z29">
        <v>185</v>
      </c>
      <c r="AA29">
        <v>184</v>
      </c>
      <c r="AB29">
        <v>164.5</v>
      </c>
      <c r="AC29">
        <v>170.7</v>
      </c>
      <c r="AD29">
        <v>176.4</v>
      </c>
      <c r="AE29">
        <v>175</v>
      </c>
      <c r="AF29">
        <v>178.1</v>
      </c>
    </row>
    <row r="30" spans="1:32">
      <c r="A30" t="s">
        <v>34</v>
      </c>
      <c r="B30">
        <v>2023</v>
      </c>
      <c r="C30" t="s">
        <v>38</v>
      </c>
      <c r="D30" t="str">
        <f t="shared" si="0"/>
        <v>May2023</v>
      </c>
      <c r="E30">
        <v>103373.228680189</v>
      </c>
      <c r="F30">
        <v>173.7</v>
      </c>
      <c r="G30">
        <v>214.3</v>
      </c>
      <c r="H30" s="4">
        <v>173.2</v>
      </c>
      <c r="I30" s="4">
        <v>179.5</v>
      </c>
      <c r="J30" s="4">
        <v>170</v>
      </c>
      <c r="K30">
        <v>172.2</v>
      </c>
      <c r="L30">
        <v>161</v>
      </c>
      <c r="M30">
        <v>175.6</v>
      </c>
      <c r="N30">
        <v>122.7</v>
      </c>
      <c r="O30">
        <v>218</v>
      </c>
      <c r="P30">
        <v>173.4</v>
      </c>
      <c r="Q30">
        <v>194.2</v>
      </c>
      <c r="R30">
        <v>179.1</v>
      </c>
      <c r="S30">
        <v>201</v>
      </c>
      <c r="T30">
        <v>187.3</v>
      </c>
      <c r="U30">
        <v>179.7</v>
      </c>
      <c r="V30">
        <v>186.2</v>
      </c>
      <c r="W30">
        <v>171.8</v>
      </c>
      <c r="X30">
        <v>182.8</v>
      </c>
      <c r="Y30">
        <v>175.2</v>
      </c>
      <c r="Z30">
        <v>185.7</v>
      </c>
      <c r="AA30">
        <v>185.2</v>
      </c>
      <c r="AB30">
        <v>164.8</v>
      </c>
      <c r="AC30">
        <v>171.2</v>
      </c>
      <c r="AD30">
        <v>177.1</v>
      </c>
      <c r="AE30">
        <v>175.7</v>
      </c>
      <c r="AF30">
        <v>179.1</v>
      </c>
    </row>
    <row r="31" spans="1:32">
      <c r="D31" t="str">
        <f t="shared" si="0"/>
        <v/>
      </c>
      <c r="F31">
        <f>CORREL(_xlfn.ANCHORARRAY($E$2), F2:F30)</f>
        <v>0.44017675841832843</v>
      </c>
      <c r="G31">
        <f t="shared" ref="G31:AF31" si="1">CORREL(_xlfn.ANCHORARRAY($E$2), G2:G30)</f>
        <v>0.79268638395138624</v>
      </c>
      <c r="H31">
        <f t="shared" si="1"/>
        <v>-8.3230117728400346E-2</v>
      </c>
      <c r="I31">
        <f t="shared" si="1"/>
        <v>0.52801215784440092</v>
      </c>
      <c r="J31">
        <f t="shared" si="1"/>
        <v>0.75137562864761909</v>
      </c>
      <c r="K31">
        <f t="shared" si="1"/>
        <v>0.52580194973218153</v>
      </c>
      <c r="L31">
        <f t="shared" si="1"/>
        <v>0.32851585542562656</v>
      </c>
      <c r="M31">
        <f t="shared" si="1"/>
        <v>0.32272831877671115</v>
      </c>
      <c r="N31">
        <f t="shared" si="1"/>
        <v>0.60898859301652386</v>
      </c>
      <c r="O31">
        <f t="shared" si="1"/>
        <v>0.51253296913706481</v>
      </c>
      <c r="P31">
        <f t="shared" si="1"/>
        <v>0.67587166556768108</v>
      </c>
      <c r="Q31">
        <f t="shared" si="1"/>
        <v>0.63554887759632273</v>
      </c>
      <c r="R31">
        <f t="shared" si="1"/>
        <v>0.7098576747879225</v>
      </c>
      <c r="S31">
        <f t="shared" si="1"/>
        <v>0.53257184105749245</v>
      </c>
      <c r="T31">
        <f t="shared" si="1"/>
        <v>0.66752105424672437</v>
      </c>
      <c r="U31">
        <f t="shared" si="1"/>
        <v>0.69262835349824226</v>
      </c>
      <c r="V31">
        <f t="shared" si="1"/>
        <v>0.67177408699418317</v>
      </c>
      <c r="W31">
        <f>CORREL(_xlfn.ANCHORARRAY(E2), W2:W30)</f>
        <v>0.37665644375139862</v>
      </c>
      <c r="X31">
        <f t="shared" si="1"/>
        <v>0.71047151158581434</v>
      </c>
      <c r="Y31">
        <f t="shared" si="1"/>
        <v>0.65447675113762327</v>
      </c>
      <c r="Z31">
        <f t="shared" si="1"/>
        <v>0.61861423178648989</v>
      </c>
      <c r="AA31">
        <f t="shared" si="1"/>
        <v>0.55942828642482056</v>
      </c>
      <c r="AB31">
        <f t="shared" si="1"/>
        <v>0.77877919315666588</v>
      </c>
      <c r="AC31">
        <f t="shared" si="1"/>
        <v>0.72426727012919734</v>
      </c>
      <c r="AD31">
        <f t="shared" si="1"/>
        <v>0.59640199467194899</v>
      </c>
      <c r="AE31">
        <f t="shared" si="1"/>
        <v>0.67574034126462068</v>
      </c>
      <c r="AF31">
        <f t="shared" si="1"/>
        <v>0.69539564242095431</v>
      </c>
    </row>
    <row r="33" spans="6:7">
      <c r="F33" cm="1">
        <f t="array" ref="F33:F59">TRANSPOSE(F31:AF31)</f>
        <v>0.44017675841832843</v>
      </c>
    </row>
    <row r="34" spans="6:7">
      <c r="F34">
        <v>0.79268638395138624</v>
      </c>
    </row>
    <row r="35" spans="6:7">
      <c r="F35">
        <v>-8.3230117728400346E-2</v>
      </c>
    </row>
    <row r="36" spans="6:7">
      <c r="F36">
        <v>0.52801215784440092</v>
      </c>
    </row>
    <row r="37" spans="6:7">
      <c r="F37">
        <v>0.75137562864761909</v>
      </c>
    </row>
    <row r="38" spans="6:7">
      <c r="F38">
        <v>0.52580194973218153</v>
      </c>
    </row>
    <row r="39" spans="6:7">
      <c r="F39">
        <v>0.32851585542562656</v>
      </c>
    </row>
    <row r="40" spans="6:7">
      <c r="F40">
        <v>0.32272831877671115</v>
      </c>
    </row>
    <row r="41" spans="6:7">
      <c r="F41">
        <v>0.60898859301652386</v>
      </c>
    </row>
    <row r="42" spans="6:7">
      <c r="F42">
        <v>0.51253296913706481</v>
      </c>
    </row>
    <row r="43" spans="6:7">
      <c r="F43">
        <v>0.67587166556768108</v>
      </c>
      <c r="G43" t="s">
        <v>197</v>
      </c>
    </row>
    <row r="44" spans="6:7">
      <c r="F44">
        <v>0.63554887759632273</v>
      </c>
    </row>
    <row r="45" spans="6:7">
      <c r="F45">
        <v>0.7098576747879225</v>
      </c>
    </row>
    <row r="46" spans="6:7">
      <c r="F46">
        <v>0.53257184105749245</v>
      </c>
    </row>
    <row r="47" spans="6:7">
      <c r="F47">
        <v>0.66752105424672437</v>
      </c>
    </row>
    <row r="48" spans="6:7">
      <c r="F48">
        <v>0.69262835349824226</v>
      </c>
    </row>
    <row r="49" spans="6:6">
      <c r="F49">
        <v>0.67177408699418317</v>
      </c>
    </row>
    <row r="50" spans="6:6">
      <c r="F50">
        <v>0.37665644375139862</v>
      </c>
    </row>
    <row r="51" spans="6:6">
      <c r="F51">
        <v>0.71047151158581434</v>
      </c>
    </row>
    <row r="52" spans="6:6">
      <c r="F52">
        <v>0.65447675113762327</v>
      </c>
    </row>
    <row r="53" spans="6:6">
      <c r="F53">
        <v>0.61861423178648989</v>
      </c>
    </row>
    <row r="54" spans="6:6">
      <c r="F54">
        <v>0.55942828642482056</v>
      </c>
    </row>
    <row r="55" spans="6:6">
      <c r="F55">
        <v>0.77877919315666588</v>
      </c>
    </row>
    <row r="56" spans="6:6">
      <c r="F56">
        <v>0.72426727012919734</v>
      </c>
    </row>
    <row r="57" spans="6:6">
      <c r="F57">
        <v>0.59640199467194899</v>
      </c>
    </row>
    <row r="58" spans="6:6">
      <c r="F58">
        <v>0.67574034126462068</v>
      </c>
    </row>
    <row r="59" spans="6:6">
      <c r="F59">
        <v>0.69539564242095431</v>
      </c>
    </row>
  </sheetData>
  <conditionalFormatting sqref="F33:F59">
    <cfRule type="top10" dxfId="1" priority="1" bottom="1" rank="3"/>
    <cfRule type="top10" dxfId="0" priority="2" rank="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6509-8F3C-45DF-B44E-734E07D0DC0C}">
  <dimension ref="A1:AC1"/>
  <sheetViews>
    <sheetView workbookViewId="0">
      <selection activeCell="C4" sqref="C4:C35"/>
    </sheetView>
  </sheetViews>
  <sheetFormatPr defaultRowHeight="14.4"/>
  <sheetData>
    <row r="1" spans="1:29">
      <c r="A1" s="5">
        <v>66695.478654874605</v>
      </c>
      <c r="B1" s="5">
        <v>60965.591062388899</v>
      </c>
      <c r="C1" s="5">
        <v>75470.774130757607</v>
      </c>
      <c r="D1" s="5">
        <v>74207.6451562898</v>
      </c>
      <c r="E1" s="5">
        <v>70046.397374263397</v>
      </c>
      <c r="F1" s="5">
        <v>71679.348913787893</v>
      </c>
      <c r="G1" s="5">
        <v>72860.439470110607</v>
      </c>
      <c r="H1" s="5">
        <v>80983.015512993996</v>
      </c>
      <c r="I1" s="5">
        <v>83035.173906576601</v>
      </c>
      <c r="J1" s="5">
        <v>91471.513995553905</v>
      </c>
      <c r="K1" s="5">
        <v>95105.451863192196</v>
      </c>
      <c r="L1" s="5">
        <v>100380.52800837099</v>
      </c>
      <c r="M1" s="5">
        <v>101828.288877698</v>
      </c>
      <c r="N1" s="5">
        <v>102317.688033714</v>
      </c>
      <c r="O1" s="5">
        <v>134181.47733497701</v>
      </c>
      <c r="P1" s="5">
        <v>151257.77739211501</v>
      </c>
      <c r="Q1" s="5">
        <v>137781.523690267</v>
      </c>
      <c r="R1" s="5">
        <v>140361.99809642401</v>
      </c>
      <c r="S1" s="5">
        <v>148619.35499624</v>
      </c>
      <c r="T1" s="5">
        <v>120976.19320076999</v>
      </c>
      <c r="U1" s="5">
        <v>110015.881041999</v>
      </c>
      <c r="V1" s="5">
        <v>116548.197341684</v>
      </c>
      <c r="W1" s="5">
        <v>118277.276201341</v>
      </c>
      <c r="X1" s="5">
        <v>112095.477543425</v>
      </c>
      <c r="Y1" s="5">
        <v>108892.965233639</v>
      </c>
      <c r="Z1" s="5">
        <v>103743.50619254399</v>
      </c>
      <c r="AA1" s="5">
        <v>107655.661515607</v>
      </c>
      <c r="AB1" s="5">
        <v>101450.654048938</v>
      </c>
      <c r="AC1" s="5">
        <v>103373.228680189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DE8ABE-15DF-46CF-98F7-C0D6E1748E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All_India_Index_Upto_April2 (2)</vt:lpstr>
      <vt:lpstr>Sheet1</vt:lpstr>
      <vt:lpstr>Solution 1</vt:lpstr>
      <vt:lpstr>Solution 2 </vt:lpstr>
      <vt:lpstr>Solution 3</vt:lpstr>
      <vt:lpstr>Solution 3(2)</vt:lpstr>
      <vt:lpstr>Solution 4</vt:lpstr>
      <vt:lpstr>Solution 5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Muhammad Mudassir</dc:creator>
  <cp:lastModifiedBy>S Muhammad Mudassir</cp:lastModifiedBy>
  <dcterms:created xsi:type="dcterms:W3CDTF">2025-10-28T17:14:05Z</dcterms:created>
  <dcterms:modified xsi:type="dcterms:W3CDTF">2025-11-23T13:16:30Z</dcterms:modified>
</cp:coreProperties>
</file>